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6465" yWindow="3765" windowWidth="13200" windowHeight="6750"/>
  </bookViews>
  <sheets>
    <sheet name="Table1" sheetId="1" r:id="rId1"/>
    <sheet name="Chart1" sheetId="2" r:id="rId2"/>
    <sheet name="Chart2" sheetId="3" r:id="rId3"/>
    <sheet name="Chart3" sheetId="9" r:id="rId4"/>
    <sheet name="Chart4" sheetId="10" r:id="rId5"/>
    <sheet name="HB Code" sheetId="4" r:id="rId6"/>
    <sheet name="Sheet1" sheetId="7" r:id="rId7"/>
    <sheet name="smr_data" sheetId="8" r:id="rId8"/>
  </sheets>
  <definedNames>
    <definedName name="table_range">OFFSET(smr_data!$A$2, 0, 0, Sheet1!$B$9, Sheet1!$B$10)</definedName>
    <definedName name="table1_CMR">OFFSET(Table1!$G$11, 0, 0, Sheet1!$B$1, 1)</definedName>
    <definedName name="table1_observed">OFFSET(Table1!$C$11, 0, 0, Sheet1!$B$1, 1)</definedName>
    <definedName name="table1_predicted">OFFSET(Table1!$D$11, 0, 0, Sheet1!$B$1, 1)</definedName>
    <definedName name="table1_quarter">OFFSET(Table1!$B$11, 0, 0, Sheet1!$B$1, 1)</definedName>
    <definedName name="table1_regression">OFFSET(Table1!$N$11, 0, 0, Sheet1!$B$1, 1)</definedName>
    <definedName name="table1_Scotland_observed">OFFSET(Table1!$O$11, 0, 0, Sheet1!$B$1, 1)</definedName>
    <definedName name="table1_Scotland_predicted">OFFSET(Table1!$P$11, 0, 0, Sheet1!$B$1, 1)</definedName>
    <definedName name="table1_Scottish_SMR">OFFSET(Table1!$Q$11, 0, 0, Sheet1!$B$1, 1)</definedName>
    <definedName name="table1_SMR">OFFSET(Table1!$E$11, 0, 0, Sheet1!$B$1, 1)</definedName>
  </definedNames>
  <calcPr calcId="125725"/>
</workbook>
</file>

<file path=xl/calcChain.xml><?xml version="1.0" encoding="utf-8"?>
<calcChain xmlns="http://schemas.openxmlformats.org/spreadsheetml/2006/main">
  <c r="B9" i="7"/>
  <c r="B35" i="9"/>
  <c r="A1277" i="8"/>
  <c r="A1278"/>
  <c r="A1279"/>
  <c r="A1280"/>
  <c r="A1281"/>
  <c r="A1282"/>
  <c r="A1283"/>
  <c r="A1284"/>
  <c r="A1285"/>
  <c r="A1286"/>
  <c r="A1287"/>
  <c r="A1288"/>
  <c r="A1289"/>
  <c r="A1290"/>
  <c r="A1291"/>
  <c r="A1292"/>
  <c r="A1293"/>
  <c r="A1294"/>
  <c r="A1295"/>
  <c r="A1296"/>
  <c r="A1297"/>
  <c r="A1298"/>
  <c r="A1299"/>
  <c r="A1300"/>
  <c r="A1301"/>
  <c r="A1302"/>
  <c r="A1303"/>
  <c r="A1304"/>
  <c r="A1305"/>
  <c r="A1306"/>
  <c r="A1307"/>
  <c r="A1308"/>
  <c r="A1309"/>
  <c r="A1310"/>
  <c r="A1311"/>
  <c r="A1312"/>
  <c r="A1313"/>
  <c r="A1314"/>
  <c r="A1315"/>
  <c r="A1316"/>
  <c r="A1317"/>
  <c r="A1318"/>
  <c r="A1319"/>
  <c r="A1320"/>
  <c r="A1321"/>
  <c r="A1322"/>
  <c r="A1323"/>
  <c r="A1324"/>
  <c r="A1325"/>
  <c r="A1326"/>
  <c r="A1327"/>
  <c r="A1328"/>
  <c r="A1329"/>
  <c r="A1330"/>
  <c r="A1331"/>
  <c r="A1332"/>
  <c r="A1333"/>
  <c r="A1334"/>
  <c r="A1335"/>
  <c r="A1336"/>
  <c r="A1337"/>
  <c r="A1338"/>
  <c r="A1339"/>
  <c r="A1340"/>
  <c r="A1341"/>
  <c r="A1342"/>
  <c r="A1343"/>
  <c r="A1344"/>
  <c r="A1345"/>
  <c r="A1346"/>
  <c r="A1347"/>
  <c r="A1348"/>
  <c r="A1349"/>
  <c r="A1350"/>
  <c r="A1351"/>
  <c r="A1352"/>
  <c r="A1353"/>
  <c r="A1354"/>
  <c r="A1355"/>
  <c r="A1356"/>
  <c r="A1357"/>
  <c r="A1358"/>
  <c r="A1359"/>
  <c r="A1360"/>
  <c r="A1361"/>
  <c r="A1362"/>
  <c r="A1363"/>
  <c r="A1364"/>
  <c r="A1365"/>
  <c r="A1366"/>
  <c r="A1367"/>
  <c r="A1368"/>
  <c r="A1369"/>
  <c r="A1370"/>
  <c r="A1371"/>
  <c r="A1372"/>
  <c r="A1373"/>
  <c r="A1374"/>
  <c r="A1375"/>
  <c r="A1376"/>
  <c r="A1377"/>
  <c r="A1378"/>
  <c r="A1379"/>
  <c r="A1380"/>
  <c r="A1381"/>
  <c r="A1382"/>
  <c r="A1383"/>
  <c r="A1384"/>
  <c r="A1385"/>
  <c r="A1386"/>
  <c r="A1387"/>
  <c r="A1388"/>
  <c r="A1389"/>
  <c r="A1390"/>
  <c r="A1391"/>
  <c r="A1392"/>
  <c r="A1393"/>
  <c r="A1394"/>
  <c r="A1395"/>
  <c r="A1396"/>
  <c r="A1397"/>
  <c r="A1398"/>
  <c r="A1399"/>
  <c r="A1400"/>
  <c r="A1401"/>
  <c r="A1402"/>
  <c r="A1403"/>
  <c r="A1404"/>
  <c r="A1405"/>
  <c r="A1406"/>
  <c r="A1407"/>
  <c r="A1408"/>
  <c r="A1409"/>
  <c r="A1410"/>
  <c r="A1411"/>
  <c r="A1412"/>
  <c r="A1413"/>
  <c r="A1414"/>
  <c r="A1415"/>
  <c r="A1416"/>
  <c r="A1417"/>
  <c r="A1418"/>
  <c r="A1419"/>
  <c r="A1420"/>
  <c r="A1421"/>
  <c r="A1422"/>
  <c r="A1423"/>
  <c r="A1424"/>
  <c r="A1425"/>
  <c r="A1426"/>
  <c r="A1427"/>
  <c r="A1428"/>
  <c r="A1429"/>
  <c r="A1430"/>
  <c r="A1431"/>
  <c r="A1432"/>
  <c r="A1433"/>
  <c r="A1434"/>
  <c r="A1435"/>
  <c r="A1436"/>
  <c r="A1437"/>
  <c r="A1438"/>
  <c r="A1439"/>
  <c r="A1440"/>
  <c r="A1441"/>
  <c r="A1442"/>
  <c r="A1443"/>
  <c r="A1444"/>
  <c r="A1445"/>
  <c r="A1446"/>
  <c r="A1447"/>
  <c r="A1448"/>
  <c r="A1449"/>
  <c r="A1450"/>
  <c r="A1451"/>
  <c r="A1452"/>
  <c r="A1453"/>
  <c r="A1454"/>
  <c r="A1455"/>
  <c r="A1456"/>
  <c r="A1457"/>
  <c r="A1458"/>
  <c r="A1459"/>
  <c r="A1460"/>
  <c r="A1461"/>
  <c r="A1462"/>
  <c r="A1463"/>
  <c r="A1464"/>
  <c r="A1465"/>
  <c r="A1466"/>
  <c r="A1467"/>
  <c r="A1468"/>
  <c r="A1469"/>
  <c r="A1470"/>
  <c r="A1471"/>
  <c r="A1472"/>
  <c r="A1473"/>
  <c r="A1474"/>
  <c r="A1475"/>
  <c r="A1476"/>
  <c r="A1477"/>
  <c r="A1478"/>
  <c r="A1479"/>
  <c r="A1480"/>
  <c r="A1481"/>
  <c r="A1482"/>
  <c r="A1483"/>
  <c r="A1484"/>
  <c r="A1485"/>
  <c r="A1486"/>
  <c r="A1487"/>
  <c r="A1488"/>
  <c r="A1489"/>
  <c r="A1490"/>
  <c r="A1491"/>
  <c r="A1492"/>
  <c r="A1493"/>
  <c r="A1494"/>
  <c r="A1495"/>
  <c r="A1496"/>
  <c r="A1497"/>
  <c r="A1498"/>
  <c r="A1499"/>
  <c r="A1500"/>
  <c r="A1501"/>
  <c r="A1502"/>
  <c r="A1503"/>
  <c r="A1504"/>
  <c r="A1505"/>
  <c r="A1506"/>
  <c r="A1507"/>
  <c r="A1508"/>
  <c r="A1509"/>
  <c r="A1510"/>
  <c r="A1511"/>
  <c r="A1512"/>
  <c r="A1513"/>
  <c r="A1514"/>
  <c r="A1515"/>
  <c r="A1516"/>
  <c r="A1517"/>
  <c r="A1518"/>
  <c r="A1519"/>
  <c r="A1520"/>
  <c r="A1521"/>
  <c r="A1522"/>
  <c r="A1523"/>
  <c r="A1524"/>
  <c r="A1525"/>
  <c r="A1526"/>
  <c r="A1527"/>
  <c r="A1528"/>
  <c r="A1529"/>
  <c r="A1530"/>
  <c r="A1531"/>
  <c r="A1532"/>
  <c r="A1533"/>
  <c r="A1534"/>
  <c r="A1535"/>
  <c r="A1536"/>
  <c r="A1537"/>
  <c r="A1538"/>
  <c r="A1539"/>
  <c r="A1540"/>
  <c r="A1541"/>
  <c r="A1542"/>
  <c r="A1543"/>
  <c r="A1544"/>
  <c r="A1545"/>
  <c r="A1546"/>
  <c r="A1547"/>
  <c r="A1548"/>
  <c r="A1549"/>
  <c r="A1550"/>
  <c r="A1551"/>
  <c r="A1552"/>
  <c r="A1553"/>
  <c r="A1554"/>
  <c r="A1555"/>
  <c r="A1556"/>
  <c r="A1557"/>
  <c r="A1558"/>
  <c r="A1559"/>
  <c r="A1560"/>
  <c r="A1561"/>
  <c r="A1562"/>
  <c r="A1563"/>
  <c r="A1564"/>
  <c r="A1565"/>
  <c r="A1566"/>
  <c r="A1567"/>
  <c r="A1568"/>
  <c r="A1569"/>
  <c r="A1570"/>
  <c r="A1571"/>
  <c r="A1572"/>
  <c r="A1573"/>
  <c r="A1574"/>
  <c r="A1575"/>
  <c r="A1576"/>
  <c r="A1577"/>
  <c r="A1578"/>
  <c r="A1579"/>
  <c r="A1580"/>
  <c r="A1581"/>
  <c r="A1582"/>
  <c r="A1583"/>
  <c r="A1584"/>
  <c r="A1585"/>
  <c r="A1586"/>
  <c r="A1587"/>
  <c r="A1588"/>
  <c r="A1589"/>
  <c r="A1590"/>
  <c r="A1591"/>
  <c r="A1592"/>
  <c r="A1593"/>
  <c r="A1594"/>
  <c r="A1595"/>
  <c r="A1596"/>
  <c r="A1597"/>
  <c r="A1598"/>
  <c r="A1599"/>
  <c r="A1600"/>
  <c r="A1601"/>
  <c r="A1602"/>
  <c r="A1603"/>
  <c r="A1604"/>
  <c r="A1605"/>
  <c r="A1606"/>
  <c r="A1607"/>
  <c r="A1608"/>
  <c r="A1609"/>
  <c r="A1610"/>
  <c r="A1611"/>
  <c r="A1612"/>
  <c r="A1613"/>
  <c r="A1614"/>
  <c r="A1615"/>
  <c r="A1616"/>
  <c r="A1617"/>
  <c r="A1618"/>
  <c r="A1619"/>
  <c r="A1620"/>
  <c r="A1621"/>
  <c r="A1622"/>
  <c r="A1623"/>
  <c r="A1624"/>
  <c r="A1625"/>
  <c r="A1626"/>
  <c r="A1627"/>
  <c r="A1628"/>
  <c r="A1629"/>
  <c r="A1630"/>
  <c r="A1631"/>
  <c r="A1632"/>
  <c r="A1633"/>
  <c r="A1634"/>
  <c r="A1635"/>
  <c r="A1636"/>
  <c r="A1637"/>
  <c r="A1638"/>
  <c r="A1639"/>
  <c r="A1640"/>
  <c r="A1641"/>
  <c r="A1642"/>
  <c r="A1643"/>
  <c r="A1644"/>
  <c r="A1645"/>
  <c r="A1646"/>
  <c r="A1647"/>
  <c r="A1648"/>
  <c r="A1649"/>
  <c r="A1650"/>
  <c r="A1651"/>
  <c r="A1652"/>
  <c r="A1653"/>
  <c r="A1654"/>
  <c r="A1655"/>
  <c r="A1656"/>
  <c r="A1657"/>
  <c r="A1658"/>
  <c r="A1659"/>
  <c r="A1660"/>
  <c r="A1661"/>
  <c r="A1662"/>
  <c r="A1663"/>
  <c r="A1664"/>
  <c r="A1665"/>
  <c r="A1666"/>
  <c r="A1667"/>
  <c r="A1668"/>
  <c r="A1669"/>
  <c r="A1670"/>
  <c r="A1671"/>
  <c r="A1672"/>
  <c r="A1673"/>
  <c r="A1674"/>
  <c r="A1675"/>
  <c r="A1676"/>
  <c r="A1677"/>
  <c r="A1678"/>
  <c r="A1679"/>
  <c r="A1680"/>
  <c r="A1681"/>
  <c r="A1682"/>
  <c r="A1683"/>
  <c r="A1684"/>
  <c r="A1685"/>
  <c r="A1686"/>
  <c r="A1687"/>
  <c r="A1688"/>
  <c r="A1689"/>
  <c r="A1690"/>
  <c r="A1691"/>
  <c r="A1692"/>
  <c r="A1693"/>
  <c r="A1694"/>
  <c r="A1695"/>
  <c r="A1696"/>
  <c r="A1697"/>
  <c r="A1698"/>
  <c r="A1699"/>
  <c r="A1700"/>
  <c r="A1701"/>
  <c r="A1702"/>
  <c r="A1703"/>
  <c r="A1704"/>
  <c r="A1705"/>
  <c r="A1706"/>
  <c r="A1707"/>
  <c r="A1708"/>
  <c r="A1709"/>
  <c r="A1710"/>
  <c r="A1711"/>
  <c r="A1712"/>
  <c r="A1713"/>
  <c r="A1714"/>
  <c r="A1715"/>
  <c r="A1716"/>
  <c r="A1717"/>
  <c r="A1718"/>
  <c r="A1719"/>
  <c r="A1720"/>
  <c r="A1721"/>
  <c r="A1722"/>
  <c r="A1723"/>
  <c r="A1724"/>
  <c r="A1725"/>
  <c r="A1726"/>
  <c r="A1727"/>
  <c r="A1728"/>
  <c r="A1729"/>
  <c r="A1730"/>
  <c r="A1731"/>
  <c r="A1732"/>
  <c r="A1733"/>
  <c r="A1734"/>
  <c r="A1735"/>
  <c r="A1736"/>
  <c r="A1737"/>
  <c r="A1738"/>
  <c r="A1739"/>
  <c r="A1740"/>
  <c r="A1741"/>
  <c r="A1742"/>
  <c r="A1743"/>
  <c r="A1744"/>
  <c r="A1745"/>
  <c r="A1746"/>
  <c r="A1747"/>
  <c r="A1748"/>
  <c r="A1749"/>
  <c r="A1750"/>
  <c r="A1751"/>
  <c r="A1752"/>
  <c r="A1753"/>
  <c r="A1754"/>
  <c r="A1755"/>
  <c r="A1756"/>
  <c r="A1757"/>
  <c r="A1758"/>
  <c r="A1759"/>
  <c r="A1760"/>
  <c r="A1761"/>
  <c r="A1762"/>
  <c r="A1763"/>
  <c r="A1764"/>
  <c r="A1765"/>
  <c r="A1766"/>
  <c r="A1767"/>
  <c r="A1768"/>
  <c r="A1769"/>
  <c r="A1770"/>
  <c r="A1771"/>
  <c r="A1772"/>
  <c r="A1773"/>
  <c r="A1774"/>
  <c r="A1775"/>
  <c r="A1776"/>
  <c r="A1777"/>
  <c r="A1778"/>
  <c r="A1779"/>
  <c r="A1780"/>
  <c r="A1781"/>
  <c r="A1782"/>
  <c r="A1783"/>
  <c r="A1784"/>
  <c r="A1785"/>
  <c r="A1786"/>
  <c r="A1787"/>
  <c r="A1788"/>
  <c r="A1789"/>
  <c r="A1790"/>
  <c r="A1791"/>
  <c r="A1792"/>
  <c r="A1793"/>
  <c r="A1794"/>
  <c r="A1795"/>
  <c r="A1796"/>
  <c r="A1797"/>
  <c r="A1798"/>
  <c r="A1799"/>
  <c r="A1800"/>
  <c r="A1801"/>
  <c r="A1802"/>
  <c r="A1803"/>
  <c r="A1804"/>
  <c r="A1805"/>
  <c r="A1806"/>
  <c r="A1807"/>
  <c r="A1808"/>
  <c r="A1809"/>
  <c r="A1810"/>
  <c r="A1811"/>
  <c r="A1812"/>
  <c r="A1813"/>
  <c r="A1814"/>
  <c r="A1815"/>
  <c r="A1816"/>
  <c r="A1817"/>
  <c r="A1818"/>
  <c r="A1819"/>
  <c r="A1820"/>
  <c r="A1821"/>
  <c r="A1822"/>
  <c r="A1823"/>
  <c r="A1824"/>
  <c r="A1825"/>
  <c r="A1826"/>
  <c r="A1827"/>
  <c r="A1828"/>
  <c r="A1829"/>
  <c r="A1830"/>
  <c r="A1831"/>
  <c r="A1832"/>
  <c r="A1833"/>
  <c r="A1834"/>
  <c r="A1835"/>
  <c r="A1836"/>
  <c r="A1837"/>
  <c r="A1838"/>
  <c r="A1839"/>
  <c r="A1840"/>
  <c r="A1841"/>
  <c r="A1842"/>
  <c r="A1843"/>
  <c r="A1844"/>
  <c r="A1845"/>
  <c r="A1846"/>
  <c r="A1847"/>
  <c r="A1848"/>
  <c r="A1849"/>
  <c r="A1850"/>
  <c r="A1851"/>
  <c r="A1852"/>
  <c r="A1853"/>
  <c r="A1854"/>
  <c r="A1855"/>
  <c r="A1856"/>
  <c r="A1857"/>
  <c r="A1858"/>
  <c r="A1859"/>
  <c r="A1860"/>
  <c r="A1861"/>
  <c r="A1862"/>
  <c r="A1863"/>
  <c r="A1864"/>
  <c r="A1865"/>
  <c r="A1866"/>
  <c r="A1867"/>
  <c r="A1868"/>
  <c r="A1869"/>
  <c r="A1870"/>
  <c r="A1871"/>
  <c r="A1872"/>
  <c r="A1873"/>
  <c r="A1874"/>
  <c r="A1875"/>
  <c r="A1876"/>
  <c r="A1877"/>
  <c r="A1878"/>
  <c r="A1879"/>
  <c r="A1880"/>
  <c r="A1881"/>
  <c r="A1882"/>
  <c r="A1883"/>
  <c r="A1884"/>
  <c r="A1885"/>
  <c r="A1886"/>
  <c r="A1887"/>
  <c r="A1888"/>
  <c r="A1889"/>
  <c r="A1890"/>
  <c r="A1891"/>
  <c r="A1892"/>
  <c r="A1893"/>
  <c r="A1894"/>
  <c r="A1895"/>
  <c r="A1896"/>
  <c r="A1897"/>
  <c r="A1898"/>
  <c r="A1899"/>
  <c r="A1900"/>
  <c r="A1901"/>
  <c r="A1902"/>
  <c r="A1903"/>
  <c r="A1904"/>
  <c r="A1905"/>
  <c r="A1906"/>
  <c r="A1907"/>
  <c r="A1908"/>
  <c r="A1909"/>
  <c r="A1910"/>
  <c r="A1911"/>
  <c r="A1912"/>
  <c r="A1913"/>
  <c r="A1914"/>
  <c r="A1915"/>
  <c r="A1916"/>
  <c r="A1917"/>
  <c r="A1918"/>
  <c r="A1919"/>
  <c r="A1920"/>
  <c r="A1921"/>
  <c r="A1922"/>
  <c r="A1923"/>
  <c r="A1924"/>
  <c r="A1925"/>
  <c r="A1926"/>
  <c r="A1927"/>
  <c r="A1928"/>
  <c r="A1929"/>
  <c r="A1930"/>
  <c r="A1931"/>
  <c r="A1932"/>
  <c r="A1933"/>
  <c r="A1934"/>
  <c r="A1935"/>
  <c r="A1936"/>
  <c r="A1937"/>
  <c r="A1938"/>
  <c r="A1939"/>
  <c r="A1940"/>
  <c r="A1941"/>
  <c r="A1942"/>
  <c r="A1943"/>
  <c r="A1944"/>
  <c r="A1945"/>
  <c r="A1946"/>
  <c r="A1947"/>
  <c r="A1948"/>
  <c r="A1949"/>
  <c r="A1950"/>
  <c r="A1951"/>
  <c r="A1952"/>
  <c r="A1953"/>
  <c r="A1954"/>
  <c r="A1955"/>
  <c r="A1956"/>
  <c r="A1957"/>
  <c r="A1958"/>
  <c r="A1959"/>
  <c r="A1960"/>
  <c r="A1961"/>
  <c r="A1962"/>
  <c r="A1963"/>
  <c r="A1964"/>
  <c r="A1965"/>
  <c r="A1966"/>
  <c r="A1967"/>
  <c r="A1968"/>
  <c r="A1969"/>
  <c r="A1970"/>
  <c r="A1971"/>
  <c r="A1972"/>
  <c r="A1973"/>
  <c r="A1974"/>
  <c r="A1975"/>
  <c r="A1976"/>
  <c r="A1977"/>
  <c r="A1978"/>
  <c r="A1979"/>
  <c r="A1980"/>
  <c r="A1981"/>
  <c r="A1982"/>
  <c r="A1983"/>
  <c r="A1984"/>
  <c r="A1985"/>
  <c r="A1986"/>
  <c r="A1987"/>
  <c r="A1988"/>
  <c r="A1989"/>
  <c r="A1990"/>
  <c r="A1991"/>
  <c r="A1992"/>
  <c r="A1993"/>
  <c r="A1994"/>
  <c r="A1995"/>
  <c r="A1996"/>
  <c r="A1997"/>
  <c r="A1998"/>
  <c r="A1999"/>
  <c r="A2000"/>
  <c r="A2001"/>
  <c r="A2002"/>
  <c r="A2003"/>
  <c r="A2004"/>
  <c r="A2005"/>
  <c r="A2006"/>
  <c r="A2007"/>
  <c r="A2008"/>
  <c r="A2009"/>
  <c r="A2010"/>
  <c r="A2011"/>
  <c r="A2012"/>
  <c r="A2013"/>
  <c r="A2014"/>
  <c r="A2015"/>
  <c r="A2016"/>
  <c r="A2017"/>
  <c r="A2018"/>
  <c r="A2019"/>
  <c r="A2020"/>
  <c r="A2021"/>
  <c r="A2022"/>
  <c r="A2023"/>
  <c r="A2024"/>
  <c r="A2025"/>
  <c r="A2026"/>
  <c r="A2027"/>
  <c r="A2028"/>
  <c r="A2029"/>
  <c r="A2030"/>
  <c r="A2031"/>
  <c r="A2032"/>
  <c r="A2033"/>
  <c r="A2034"/>
  <c r="A2035"/>
  <c r="A2036"/>
  <c r="A2037"/>
  <c r="A2038"/>
  <c r="A2039"/>
  <c r="A2040"/>
  <c r="A2041"/>
  <c r="A2042"/>
  <c r="A2043"/>
  <c r="A2044"/>
  <c r="A2045"/>
  <c r="A2046"/>
  <c r="A2047"/>
  <c r="A2048"/>
  <c r="A2049"/>
  <c r="A2050"/>
  <c r="A2051"/>
  <c r="A2052"/>
  <c r="A2053"/>
  <c r="A2054"/>
  <c r="A2055"/>
  <c r="A2056"/>
  <c r="A2057"/>
  <c r="A2058"/>
  <c r="A2059"/>
  <c r="A2060"/>
  <c r="A2061"/>
  <c r="A2062"/>
  <c r="A2063"/>
  <c r="A2064"/>
  <c r="A2065"/>
  <c r="A2066"/>
  <c r="A2067"/>
  <c r="A2068"/>
  <c r="A2069"/>
  <c r="A2070"/>
  <c r="A2071"/>
  <c r="A2072"/>
  <c r="A2073"/>
  <c r="A2074"/>
  <c r="A2075"/>
  <c r="A2076"/>
  <c r="A2077"/>
  <c r="A2078"/>
  <c r="A2079"/>
  <c r="A2080"/>
  <c r="A2081"/>
  <c r="A2082"/>
  <c r="A2083"/>
  <c r="A2084"/>
  <c r="A2085"/>
  <c r="A2086"/>
  <c r="A2087"/>
  <c r="A2088"/>
  <c r="A2089"/>
  <c r="A2090"/>
  <c r="A2091"/>
  <c r="A2092"/>
  <c r="A2093"/>
  <c r="A2094"/>
  <c r="A2095"/>
  <c r="A2096"/>
  <c r="A2097"/>
  <c r="A2098"/>
  <c r="A2099"/>
  <c r="A2100"/>
  <c r="A2101"/>
  <c r="A2102"/>
  <c r="A2103"/>
  <c r="A2104"/>
  <c r="A2105"/>
  <c r="A2106"/>
  <c r="A2107"/>
  <c r="A2108"/>
  <c r="A2109"/>
  <c r="A2110"/>
  <c r="A2111"/>
  <c r="A2112"/>
  <c r="A2113"/>
  <c r="A2114"/>
  <c r="A2115"/>
  <c r="A2116"/>
  <c r="A2117"/>
  <c r="A2118"/>
  <c r="A2119"/>
  <c r="A2120"/>
  <c r="A2121"/>
  <c r="A2122"/>
  <c r="A2123"/>
  <c r="A2124"/>
  <c r="A2125"/>
  <c r="A2126"/>
  <c r="A2127"/>
  <c r="A2128"/>
  <c r="A2129"/>
  <c r="A2130"/>
  <c r="A2131"/>
  <c r="A2132"/>
  <c r="A2133"/>
  <c r="A2134"/>
  <c r="A2135"/>
  <c r="A2136"/>
  <c r="A2137"/>
  <c r="A2138"/>
  <c r="A2139"/>
  <c r="A2140"/>
  <c r="A2141"/>
  <c r="A2142"/>
  <c r="A2143"/>
  <c r="A2144"/>
  <c r="A2145"/>
  <c r="A2146"/>
  <c r="A2147"/>
  <c r="A2148"/>
  <c r="A2149"/>
  <c r="A2150"/>
  <c r="A2151"/>
  <c r="A2152"/>
  <c r="A2153"/>
  <c r="A2154"/>
  <c r="A2155"/>
  <c r="A2156"/>
  <c r="A2157"/>
  <c r="A2158"/>
  <c r="A2159"/>
  <c r="A2160"/>
  <c r="A2161"/>
  <c r="A2162"/>
  <c r="A2163"/>
  <c r="A2164"/>
  <c r="A2165"/>
  <c r="A2166"/>
  <c r="A2167"/>
  <c r="A2168"/>
  <c r="A2169"/>
  <c r="A2170"/>
  <c r="A2171"/>
  <c r="A2172"/>
  <c r="A2173"/>
  <c r="A2174"/>
  <c r="A2175"/>
  <c r="A2176"/>
  <c r="A2177"/>
  <c r="A2178"/>
  <c r="A2179"/>
  <c r="A2180"/>
  <c r="A2181"/>
  <c r="A2182"/>
  <c r="A2183"/>
  <c r="A2184"/>
  <c r="A2185"/>
  <c r="A2186"/>
  <c r="A2187"/>
  <c r="A2188"/>
  <c r="A2189"/>
  <c r="A2190"/>
  <c r="A2191"/>
  <c r="A2192"/>
  <c r="A2193"/>
  <c r="A2194"/>
  <c r="A2195"/>
  <c r="A2196"/>
  <c r="A2197"/>
  <c r="A2198"/>
  <c r="A2199"/>
  <c r="A2200"/>
  <c r="A2201"/>
  <c r="A2202"/>
  <c r="A2203"/>
  <c r="A2204"/>
  <c r="A2205"/>
  <c r="A2206"/>
  <c r="A2207"/>
  <c r="A2208"/>
  <c r="A2209"/>
  <c r="A2210"/>
  <c r="A2211"/>
  <c r="A2212"/>
  <c r="A2213"/>
  <c r="A2214"/>
  <c r="A2215"/>
  <c r="A2216"/>
  <c r="A2217"/>
  <c r="A2218"/>
  <c r="A2219"/>
  <c r="A2220"/>
  <c r="A2221"/>
  <c r="A2222"/>
  <c r="A2223"/>
  <c r="A2224"/>
  <c r="A2225"/>
  <c r="A2226"/>
  <c r="A2227"/>
  <c r="A2228"/>
  <c r="A2229"/>
  <c r="A2230"/>
  <c r="A2231"/>
  <c r="A2232"/>
  <c r="A2233"/>
  <c r="A2234"/>
  <c r="A2235"/>
  <c r="A2236"/>
  <c r="A2237"/>
  <c r="A2238"/>
  <c r="A2239"/>
  <c r="A2240"/>
  <c r="A2241"/>
  <c r="A2242"/>
  <c r="A2243"/>
  <c r="A2244"/>
  <c r="A2245"/>
  <c r="A2246"/>
  <c r="A2247"/>
  <c r="A2248"/>
  <c r="A2249"/>
  <c r="A2250"/>
  <c r="A2251"/>
  <c r="A2252"/>
  <c r="A2253"/>
  <c r="A2254"/>
  <c r="A2255"/>
  <c r="A2256"/>
  <c r="A2257"/>
  <c r="A2258"/>
  <c r="A2259"/>
  <c r="A2260"/>
  <c r="A2261"/>
  <c r="A2262"/>
  <c r="A2263"/>
  <c r="A2264"/>
  <c r="A2265"/>
  <c r="A2266"/>
  <c r="A2267"/>
  <c r="A2268"/>
  <c r="A2269"/>
  <c r="A2270"/>
  <c r="A2271"/>
  <c r="A2272"/>
  <c r="A2273"/>
  <c r="A2274"/>
  <c r="A2275"/>
  <c r="A2276"/>
  <c r="A2277"/>
  <c r="A2278"/>
  <c r="A2279"/>
  <c r="A2280"/>
  <c r="A2281"/>
  <c r="A2282"/>
  <c r="A2283"/>
  <c r="A2284"/>
  <c r="A2285"/>
  <c r="A2286"/>
  <c r="A2287"/>
  <c r="A2288"/>
  <c r="A2289"/>
  <c r="A2290"/>
  <c r="A2291"/>
  <c r="A2292"/>
  <c r="A2293"/>
  <c r="A2294"/>
  <c r="A2295"/>
  <c r="A2296"/>
  <c r="A2297"/>
  <c r="A2298"/>
  <c r="A2299"/>
  <c r="A2300"/>
  <c r="A2301"/>
  <c r="A2302"/>
  <c r="A2303"/>
  <c r="A2304"/>
  <c r="A2305"/>
  <c r="A2306"/>
  <c r="A2307"/>
  <c r="A2308"/>
  <c r="A2309"/>
  <c r="A2310"/>
  <c r="A2311"/>
  <c r="A2312"/>
  <c r="A2313"/>
  <c r="A2314"/>
  <c r="A2315"/>
  <c r="A2316"/>
  <c r="A2317"/>
  <c r="A2318"/>
  <c r="A2319"/>
  <c r="A2320"/>
  <c r="A2321"/>
  <c r="A2322"/>
  <c r="A2323"/>
  <c r="A2324"/>
  <c r="A2325"/>
  <c r="A2326"/>
  <c r="A2327"/>
  <c r="A2328"/>
  <c r="A2329"/>
  <c r="A2330"/>
  <c r="A2331"/>
  <c r="A2332"/>
  <c r="A2333"/>
  <c r="A2334"/>
  <c r="A2335"/>
  <c r="A2336"/>
  <c r="A2337"/>
  <c r="A2338"/>
  <c r="A2339"/>
  <c r="A2340"/>
  <c r="A2341"/>
  <c r="A2342"/>
  <c r="A2343"/>
  <c r="A2344"/>
  <c r="A2345"/>
  <c r="A2346"/>
  <c r="A2347"/>
  <c r="A2348"/>
  <c r="A2349"/>
  <c r="A2350"/>
  <c r="A2351"/>
  <c r="A2352"/>
  <c r="A2353"/>
  <c r="A2354"/>
  <c r="A2355"/>
  <c r="A2356"/>
  <c r="A2357"/>
  <c r="A2358"/>
  <c r="A2359"/>
  <c r="A2360"/>
  <c r="A2361"/>
  <c r="A2362"/>
  <c r="A2363"/>
  <c r="A2364"/>
  <c r="A2365"/>
  <c r="A2366"/>
  <c r="A2367"/>
  <c r="A2368"/>
  <c r="A2369"/>
  <c r="A2370"/>
  <c r="A2371"/>
  <c r="A2372"/>
  <c r="A2373"/>
  <c r="A2374"/>
  <c r="A2375"/>
  <c r="A2376"/>
  <c r="A2377"/>
  <c r="A2378"/>
  <c r="A2379"/>
  <c r="A2380"/>
  <c r="A2381"/>
  <c r="A2382"/>
  <c r="A2383"/>
  <c r="A2384"/>
  <c r="A2385"/>
  <c r="A2386"/>
  <c r="A2387"/>
  <c r="A2388"/>
  <c r="A2389"/>
  <c r="A2390"/>
  <c r="A2391"/>
  <c r="A2392"/>
  <c r="A2393"/>
  <c r="A2394"/>
  <c r="A2395"/>
  <c r="A2396"/>
  <c r="A2397"/>
  <c r="A2398"/>
  <c r="A2399"/>
  <c r="A2400"/>
  <c r="A2401"/>
  <c r="A2402"/>
  <c r="A2403"/>
  <c r="A2404"/>
  <c r="A2405"/>
  <c r="A2406"/>
  <c r="A2407"/>
  <c r="A2408"/>
  <c r="A2409"/>
  <c r="A2410"/>
  <c r="A2411"/>
  <c r="A2412"/>
  <c r="A2413"/>
  <c r="A2414"/>
  <c r="A2415"/>
  <c r="A2416"/>
  <c r="A2417"/>
  <c r="A2418"/>
  <c r="A2419"/>
  <c r="A2420"/>
  <c r="A2421"/>
  <c r="A2422"/>
  <c r="A2423"/>
  <c r="A2424"/>
  <c r="A2425"/>
  <c r="A2426"/>
  <c r="A2427"/>
  <c r="A2428"/>
  <c r="A2429"/>
  <c r="A2430"/>
  <c r="A2431"/>
  <c r="A2432"/>
  <c r="A2433"/>
  <c r="A2434"/>
  <c r="A2435"/>
  <c r="A2436"/>
  <c r="A2437"/>
  <c r="A2438"/>
  <c r="A2439"/>
  <c r="A2440"/>
  <c r="A2441"/>
  <c r="A2442"/>
  <c r="A2443"/>
  <c r="A2444"/>
  <c r="A2445"/>
  <c r="A2446"/>
  <c r="A2447"/>
  <c r="A2448"/>
  <c r="A2449"/>
  <c r="A2450"/>
  <c r="A2451"/>
  <c r="A2452"/>
  <c r="A2453"/>
  <c r="A2454"/>
  <c r="A2455"/>
  <c r="A2456"/>
  <c r="A2457"/>
  <c r="A2458"/>
  <c r="A2459"/>
  <c r="A2460"/>
  <c r="A2461"/>
  <c r="A2462"/>
  <c r="A2463"/>
  <c r="A2464"/>
  <c r="A2465"/>
  <c r="A2466"/>
  <c r="A2467"/>
  <c r="A2468"/>
  <c r="A2469"/>
  <c r="A2470"/>
  <c r="A2471"/>
  <c r="A2472"/>
  <c r="A2473"/>
  <c r="A2474"/>
  <c r="A2475"/>
  <c r="A2476"/>
  <c r="A2477"/>
  <c r="A2478"/>
  <c r="A2479"/>
  <c r="A2480"/>
  <c r="A2481"/>
  <c r="A2482"/>
  <c r="A2483"/>
  <c r="A2484"/>
  <c r="A2485"/>
  <c r="A2486"/>
  <c r="A2487"/>
  <c r="A2488"/>
  <c r="A2489"/>
  <c r="A2490"/>
  <c r="A2491"/>
  <c r="A2492"/>
  <c r="A2493"/>
  <c r="A2494"/>
  <c r="A2495"/>
  <c r="A2496"/>
  <c r="A2497"/>
  <c r="A2498"/>
  <c r="A2499"/>
  <c r="A2500"/>
  <c r="A2501"/>
  <c r="A2502"/>
  <c r="A2503"/>
  <c r="A2504"/>
  <c r="A2505"/>
  <c r="A2506"/>
  <c r="A2507"/>
  <c r="A2508"/>
  <c r="A2509"/>
  <c r="A2510"/>
  <c r="A2511"/>
  <c r="A2512"/>
  <c r="A2513"/>
  <c r="A2514"/>
  <c r="A2515"/>
  <c r="A2516"/>
  <c r="A2517"/>
  <c r="A2518"/>
  <c r="A2519"/>
  <c r="A2520"/>
  <c r="A2521"/>
  <c r="A2522"/>
  <c r="A2523"/>
  <c r="A2524"/>
  <c r="A2525"/>
  <c r="A2526"/>
  <c r="A2527"/>
  <c r="A2528"/>
  <c r="A2529"/>
  <c r="A2530"/>
  <c r="A2531"/>
  <c r="A2532"/>
  <c r="A2533"/>
  <c r="A2534"/>
  <c r="A2535"/>
  <c r="A2536"/>
  <c r="A2537"/>
  <c r="A2538"/>
  <c r="A2539"/>
  <c r="A2540"/>
  <c r="A2541"/>
  <c r="A2542"/>
  <c r="A2543"/>
  <c r="A2544"/>
  <c r="A2545"/>
  <c r="A2546"/>
  <c r="A2547"/>
  <c r="A2548"/>
  <c r="A2549"/>
  <c r="A2550"/>
  <c r="A2551"/>
  <c r="A2552"/>
  <c r="A2553"/>
  <c r="A2554"/>
  <c r="A2555"/>
  <c r="A2556"/>
  <c r="A2557"/>
  <c r="A2558"/>
  <c r="A2559"/>
  <c r="A2560"/>
  <c r="A2561"/>
  <c r="A2562"/>
  <c r="A2563"/>
  <c r="A2564"/>
  <c r="A2565"/>
  <c r="A2566"/>
  <c r="A2567"/>
  <c r="A2568"/>
  <c r="A2569"/>
  <c r="A2570"/>
  <c r="A2571"/>
  <c r="A2572"/>
  <c r="A2573"/>
  <c r="A2574"/>
  <c r="A2575"/>
  <c r="A2576"/>
  <c r="A2577"/>
  <c r="A2578"/>
  <c r="A2579"/>
  <c r="A2580"/>
  <c r="A2581"/>
  <c r="A2582"/>
  <c r="A2583"/>
  <c r="A2584"/>
  <c r="A2585"/>
  <c r="A2586"/>
  <c r="A2587"/>
  <c r="A2588"/>
  <c r="A2589"/>
  <c r="A2590"/>
  <c r="A2591"/>
  <c r="A2592"/>
  <c r="A2593"/>
  <c r="A2594"/>
  <c r="A2595"/>
  <c r="A2596"/>
  <c r="A2597"/>
  <c r="A2598"/>
  <c r="A2599"/>
  <c r="A2600"/>
  <c r="A2601"/>
  <c r="A2602"/>
  <c r="A2603"/>
  <c r="A2604"/>
  <c r="A2605"/>
  <c r="A2606"/>
  <c r="A2607"/>
  <c r="A2608"/>
  <c r="A2609"/>
  <c r="A2610"/>
  <c r="A2611"/>
  <c r="A2612"/>
  <c r="A2613"/>
  <c r="A2614"/>
  <c r="A2615"/>
  <c r="A2616"/>
  <c r="A2617"/>
  <c r="A2618"/>
  <c r="A2619"/>
  <c r="A2620"/>
  <c r="A2621"/>
  <c r="A2622"/>
  <c r="A2623"/>
  <c r="A2624"/>
  <c r="A2625"/>
  <c r="A2626"/>
  <c r="A2627"/>
  <c r="A2628"/>
  <c r="A2629"/>
  <c r="A2630"/>
  <c r="A2631"/>
  <c r="A2632"/>
  <c r="A2633"/>
  <c r="A2634"/>
  <c r="A2635"/>
  <c r="A2636"/>
  <c r="A2637"/>
  <c r="A2638"/>
  <c r="A2639"/>
  <c r="A2640"/>
  <c r="A2641"/>
  <c r="A2642"/>
  <c r="A2643"/>
  <c r="A2644"/>
  <c r="A2645"/>
  <c r="A2646"/>
  <c r="A2647"/>
  <c r="A2648"/>
  <c r="A2649"/>
  <c r="A2650"/>
  <c r="A2651"/>
  <c r="A2652"/>
  <c r="A2653"/>
  <c r="A2654"/>
  <c r="A2655"/>
  <c r="A2656"/>
  <c r="A2657"/>
  <c r="A2658"/>
  <c r="A2659"/>
  <c r="A2660"/>
  <c r="A2661"/>
  <c r="A2662"/>
  <c r="A2663"/>
  <c r="A2664"/>
  <c r="A2665"/>
  <c r="A2666"/>
  <c r="A2667"/>
  <c r="A2668"/>
  <c r="A2669"/>
  <c r="A2670"/>
  <c r="A2671"/>
  <c r="A2672"/>
  <c r="A2673"/>
  <c r="A2674"/>
  <c r="A2675"/>
  <c r="A2676"/>
  <c r="A2677"/>
  <c r="A2678"/>
  <c r="A2679"/>
  <c r="A2680"/>
  <c r="A2681"/>
  <c r="A2682"/>
  <c r="A2683"/>
  <c r="A2684"/>
  <c r="A2685"/>
  <c r="A2686"/>
  <c r="A2687"/>
  <c r="A2688"/>
  <c r="A2689"/>
  <c r="A2690"/>
  <c r="A2691"/>
  <c r="A2692"/>
  <c r="A2693"/>
  <c r="A2694"/>
  <c r="A2695"/>
  <c r="A2696"/>
  <c r="A2697"/>
  <c r="A2698"/>
  <c r="A2699"/>
  <c r="A2700"/>
  <c r="A2701"/>
  <c r="A2702"/>
  <c r="A2703"/>
  <c r="A2704"/>
  <c r="A2705"/>
  <c r="A2706"/>
  <c r="A2707"/>
  <c r="A2708"/>
  <c r="A2709"/>
  <c r="A2710"/>
  <c r="A2711"/>
  <c r="A2712"/>
  <c r="A2713"/>
  <c r="A2714"/>
  <c r="A2715"/>
  <c r="A2716"/>
  <c r="A2717"/>
  <c r="A2718"/>
  <c r="A2719"/>
  <c r="A2720"/>
  <c r="A2721"/>
  <c r="A2722"/>
  <c r="A2723"/>
  <c r="A2724"/>
  <c r="A2725"/>
  <c r="A2726"/>
  <c r="A2727"/>
  <c r="A2728"/>
  <c r="A2729"/>
  <c r="A2730"/>
  <c r="A2731"/>
  <c r="A2732"/>
  <c r="A2733"/>
  <c r="A2734"/>
  <c r="A2735"/>
  <c r="A2736"/>
  <c r="A2737"/>
  <c r="A2738"/>
  <c r="A2739"/>
  <c r="A2740"/>
  <c r="A2741"/>
  <c r="A2742"/>
  <c r="A2743"/>
  <c r="A2744"/>
  <c r="A2745"/>
  <c r="A2746"/>
  <c r="A2747"/>
  <c r="A2748"/>
  <c r="A2749"/>
  <c r="A2750"/>
  <c r="A2751"/>
  <c r="A2752"/>
  <c r="A2753"/>
  <c r="A2754"/>
  <c r="A2755"/>
  <c r="A2756"/>
  <c r="A2757"/>
  <c r="A2758"/>
  <c r="A2759"/>
  <c r="A2760"/>
  <c r="A2761"/>
  <c r="A2762"/>
  <c r="A2763"/>
  <c r="A2764"/>
  <c r="A2765"/>
  <c r="A2766"/>
  <c r="A2767"/>
  <c r="A2768"/>
  <c r="A2769"/>
  <c r="A2770"/>
  <c r="A2771"/>
  <c r="A2772"/>
  <c r="A2773"/>
  <c r="A2774"/>
  <c r="A2775"/>
  <c r="A2776"/>
  <c r="A2777"/>
  <c r="A2778"/>
  <c r="A2779"/>
  <c r="A2780"/>
  <c r="A2781"/>
  <c r="A2782"/>
  <c r="A2783"/>
  <c r="A2784"/>
  <c r="A2785"/>
  <c r="A2786"/>
  <c r="A2787"/>
  <c r="A2788"/>
  <c r="A2789"/>
  <c r="A2790"/>
  <c r="A2791"/>
  <c r="A2792"/>
  <c r="A2793"/>
  <c r="A2794"/>
  <c r="A2795"/>
  <c r="A2796"/>
  <c r="A2797"/>
  <c r="A2798"/>
  <c r="A2799"/>
  <c r="A2800"/>
  <c r="A2801"/>
  <c r="A2802"/>
  <c r="A2803"/>
  <c r="A2804"/>
  <c r="A2805"/>
  <c r="A2806"/>
  <c r="A2807"/>
  <c r="A2808"/>
  <c r="A2809"/>
  <c r="A2810"/>
  <c r="A2811"/>
  <c r="A2812"/>
  <c r="A2813"/>
  <c r="A2814"/>
  <c r="A2815"/>
  <c r="A2816"/>
  <c r="A2817"/>
  <c r="A2818"/>
  <c r="A2819"/>
  <c r="A2820"/>
  <c r="A2821"/>
  <c r="A2822"/>
  <c r="A2823"/>
  <c r="A2824"/>
  <c r="A2825"/>
  <c r="A2826"/>
  <c r="A2827"/>
  <c r="A2828"/>
  <c r="A2829"/>
  <c r="A2830"/>
  <c r="A2831"/>
  <c r="A2832"/>
  <c r="A2833"/>
  <c r="A2834"/>
  <c r="A2835"/>
  <c r="A2836"/>
  <c r="A2837"/>
  <c r="A2838"/>
  <c r="A2839"/>
  <c r="A2840"/>
  <c r="A2841"/>
  <c r="A2842"/>
  <c r="A2843"/>
  <c r="A2844"/>
  <c r="A2845"/>
  <c r="A2846"/>
  <c r="A2847"/>
  <c r="A2848"/>
  <c r="A2849"/>
  <c r="A2850"/>
  <c r="A2851"/>
  <c r="A2852"/>
  <c r="A2853"/>
  <c r="A2854"/>
  <c r="A2855"/>
  <c r="A2856"/>
  <c r="A2857"/>
  <c r="A2858"/>
  <c r="A2859"/>
  <c r="A2860"/>
  <c r="A2861"/>
  <c r="A2862"/>
  <c r="A2863"/>
  <c r="A2864"/>
  <c r="A2865"/>
  <c r="A2866"/>
  <c r="A2867"/>
  <c r="A2868"/>
  <c r="A2869"/>
  <c r="A2870"/>
  <c r="A2871"/>
  <c r="A2872"/>
  <c r="A2873"/>
  <c r="A2874"/>
  <c r="A2875"/>
  <c r="A2876"/>
  <c r="A2877"/>
  <c r="A2878"/>
  <c r="A2879"/>
  <c r="A2880"/>
  <c r="A2881"/>
  <c r="A2882"/>
  <c r="A2883"/>
  <c r="A2884"/>
  <c r="A2885"/>
  <c r="A2886"/>
  <c r="A2887"/>
  <c r="A2888"/>
  <c r="A2889"/>
  <c r="A2890"/>
  <c r="A2891"/>
  <c r="A2892"/>
  <c r="A2893"/>
  <c r="A2894"/>
  <c r="A2895"/>
  <c r="A2896"/>
  <c r="A2897"/>
  <c r="A2898"/>
  <c r="A2899"/>
  <c r="A2900"/>
  <c r="A2901"/>
  <c r="A2902"/>
  <c r="A2903"/>
  <c r="A2904"/>
  <c r="A2905"/>
  <c r="A2906"/>
  <c r="A2907"/>
  <c r="A2908"/>
  <c r="A2909"/>
  <c r="A2910"/>
  <c r="A2911"/>
  <c r="A2912"/>
  <c r="A2913"/>
  <c r="A2914"/>
  <c r="A2915"/>
  <c r="A2916"/>
  <c r="A2917"/>
  <c r="A2918"/>
  <c r="A2919"/>
  <c r="A2920"/>
  <c r="A2921"/>
  <c r="A2922"/>
  <c r="A2923"/>
  <c r="A2924"/>
  <c r="A2925"/>
  <c r="A2926"/>
  <c r="A2927"/>
  <c r="A2928"/>
  <c r="A2929"/>
  <c r="A2930"/>
  <c r="A2931"/>
  <c r="A2932"/>
  <c r="A2933"/>
  <c r="A2934"/>
  <c r="A2935"/>
  <c r="A2936"/>
  <c r="A2937"/>
  <c r="A2938"/>
  <c r="A2939"/>
  <c r="A2940"/>
  <c r="A2941"/>
  <c r="A2942"/>
  <c r="A2943"/>
  <c r="A2944"/>
  <c r="A2945"/>
  <c r="A2946"/>
  <c r="A2947"/>
  <c r="A2948"/>
  <c r="A2949"/>
  <c r="A2950"/>
  <c r="A2951"/>
  <c r="A2952"/>
  <c r="A2953"/>
  <c r="A2954"/>
  <c r="A2955"/>
  <c r="A2956"/>
  <c r="A2957"/>
  <c r="A2958"/>
  <c r="A2959"/>
  <c r="A2960"/>
  <c r="A2961"/>
  <c r="A2962"/>
  <c r="A2963"/>
  <c r="A2964"/>
  <c r="A2965"/>
  <c r="A2966"/>
  <c r="A2967"/>
  <c r="A2968"/>
  <c r="A2969"/>
  <c r="A2970"/>
  <c r="A2971"/>
  <c r="A2972"/>
  <c r="A2973"/>
  <c r="A2974"/>
  <c r="A2975"/>
  <c r="A2976"/>
  <c r="A2977"/>
  <c r="A2978"/>
  <c r="A2979"/>
  <c r="A2980"/>
  <c r="A2981"/>
  <c r="A2982"/>
  <c r="A2983"/>
  <c r="A2984"/>
  <c r="A2985"/>
  <c r="A2986"/>
  <c r="A2987"/>
  <c r="A2988"/>
  <c r="A2989"/>
  <c r="A2990"/>
  <c r="A2991"/>
  <c r="A2992"/>
  <c r="A2993"/>
  <c r="A2994"/>
  <c r="A2995"/>
  <c r="A2996"/>
  <c r="A2997"/>
  <c r="A2998"/>
  <c r="A2999"/>
  <c r="A3000"/>
  <c r="A3001"/>
  <c r="A3002"/>
  <c r="A3003"/>
  <c r="A3004"/>
  <c r="A3005"/>
  <c r="A3006"/>
  <c r="A3007"/>
  <c r="A3008"/>
  <c r="A3009"/>
  <c r="A3010"/>
  <c r="A3011"/>
  <c r="A3012"/>
  <c r="A3013"/>
  <c r="A3014"/>
  <c r="A3015"/>
  <c r="A3016"/>
  <c r="A3017"/>
  <c r="A3018"/>
  <c r="A3019"/>
  <c r="A3020"/>
  <c r="A3021"/>
  <c r="A3022"/>
  <c r="A3023"/>
  <c r="A3024"/>
  <c r="A3025"/>
  <c r="A3026"/>
  <c r="A3027"/>
  <c r="A3028"/>
  <c r="A3029"/>
  <c r="A3030"/>
  <c r="A3031"/>
  <c r="A3032"/>
  <c r="A3033"/>
  <c r="A3034"/>
  <c r="A3035"/>
  <c r="A3036"/>
  <c r="A3037"/>
  <c r="A3038"/>
  <c r="A3039"/>
  <c r="A3040"/>
  <c r="A3041"/>
  <c r="A3042"/>
  <c r="A3043"/>
  <c r="A3044"/>
  <c r="A3045"/>
  <c r="A3046"/>
  <c r="A3047"/>
  <c r="A3048"/>
  <c r="A3049"/>
  <c r="A3050"/>
  <c r="A3051"/>
  <c r="A3052"/>
  <c r="A3053"/>
  <c r="A3054"/>
  <c r="A3055"/>
  <c r="A3056"/>
  <c r="A3057"/>
  <c r="A3058"/>
  <c r="A3059"/>
  <c r="A3060"/>
  <c r="A3061"/>
  <c r="A3062"/>
  <c r="A3063"/>
  <c r="A3064"/>
  <c r="A3065"/>
  <c r="A3066"/>
  <c r="A3067"/>
  <c r="A3068"/>
  <c r="A3069"/>
  <c r="A3070"/>
  <c r="A3071"/>
  <c r="A3072"/>
  <c r="A3073"/>
  <c r="A3074"/>
  <c r="A3075"/>
  <c r="A3076"/>
  <c r="A3077"/>
  <c r="A3078"/>
  <c r="A3079"/>
  <c r="A3080"/>
  <c r="A3081"/>
  <c r="A3082"/>
  <c r="A3083"/>
  <c r="A3084"/>
  <c r="A3085"/>
  <c r="A3086"/>
  <c r="A3087"/>
  <c r="A3088"/>
  <c r="A3089"/>
  <c r="A3090"/>
  <c r="A3091"/>
  <c r="A3092"/>
  <c r="A3093"/>
  <c r="A3094"/>
  <c r="A3095"/>
  <c r="A3096"/>
  <c r="A3097"/>
  <c r="A3098"/>
  <c r="A3099"/>
  <c r="A3100"/>
  <c r="A3101"/>
  <c r="A3102"/>
  <c r="A3103"/>
  <c r="A3104"/>
  <c r="A3105"/>
  <c r="A3106"/>
  <c r="A3107"/>
  <c r="A3108"/>
  <c r="A3109"/>
  <c r="A3110"/>
  <c r="A3111"/>
  <c r="A3112"/>
  <c r="A3113"/>
  <c r="A3114"/>
  <c r="A3115"/>
  <c r="A3116"/>
  <c r="A3117"/>
  <c r="A3118"/>
  <c r="A3119"/>
  <c r="A3120"/>
  <c r="A3121"/>
  <c r="A3122"/>
  <c r="A3123"/>
  <c r="A3124"/>
  <c r="A3125"/>
  <c r="A3126"/>
  <c r="A3127"/>
  <c r="A3128"/>
  <c r="A3129"/>
  <c r="A3130"/>
  <c r="A3131"/>
  <c r="A3132"/>
  <c r="A3133"/>
  <c r="A3134"/>
  <c r="A3135"/>
  <c r="A3136"/>
  <c r="A3137"/>
  <c r="A3138"/>
  <c r="A3139"/>
  <c r="A3140"/>
  <c r="A3141"/>
  <c r="A3142"/>
  <c r="A3143"/>
  <c r="A3144"/>
  <c r="A3145"/>
  <c r="A3146"/>
  <c r="A3147"/>
  <c r="A3148"/>
  <c r="A3149"/>
  <c r="A3150"/>
  <c r="A3151"/>
  <c r="A3152"/>
  <c r="A3153"/>
  <c r="A3154"/>
  <c r="A3155"/>
  <c r="A3156"/>
  <c r="A3157"/>
  <c r="A3158"/>
  <c r="A3159"/>
  <c r="A3160"/>
  <c r="A3161"/>
  <c r="A3162"/>
  <c r="A3163"/>
  <c r="A3164"/>
  <c r="A3165"/>
  <c r="A3166"/>
  <c r="A3167"/>
  <c r="A3168"/>
  <c r="A3169"/>
  <c r="A3170"/>
  <c r="A3171"/>
  <c r="A3172"/>
  <c r="A3173"/>
  <c r="A3174"/>
  <c r="A3175"/>
  <c r="A3176"/>
  <c r="A3177"/>
  <c r="A3178"/>
  <c r="A3179"/>
  <c r="A3180"/>
  <c r="A3181"/>
  <c r="A3182"/>
  <c r="A3183"/>
  <c r="A3184"/>
  <c r="A3185"/>
  <c r="A3186"/>
  <c r="A3187"/>
  <c r="A3188"/>
  <c r="A3189"/>
  <c r="A3190"/>
  <c r="A3191"/>
  <c r="A3192"/>
  <c r="A3193"/>
  <c r="A3194"/>
  <c r="A3195"/>
  <c r="A3196"/>
  <c r="A3197"/>
  <c r="A3198"/>
  <c r="A3199"/>
  <c r="A3200"/>
  <c r="A3201"/>
  <c r="A3202"/>
  <c r="A3203"/>
  <c r="A3204"/>
  <c r="A3205"/>
  <c r="A3206"/>
  <c r="A3207"/>
  <c r="A3208"/>
  <c r="A3209"/>
  <c r="A3210"/>
  <c r="A3211"/>
  <c r="A3212"/>
  <c r="A3213"/>
  <c r="A3214"/>
  <c r="A3215"/>
  <c r="A3216"/>
  <c r="A3217"/>
  <c r="A3218"/>
  <c r="A3219"/>
  <c r="A3220"/>
  <c r="A3221"/>
  <c r="A3222"/>
  <c r="A3223"/>
  <c r="A3224"/>
  <c r="A3225"/>
  <c r="A3226"/>
  <c r="A3227"/>
  <c r="A3228"/>
  <c r="A3229"/>
  <c r="A3230"/>
  <c r="A3231"/>
  <c r="A3232"/>
  <c r="A3233"/>
  <c r="A3234"/>
  <c r="A3235"/>
  <c r="A3236"/>
  <c r="A3237"/>
  <c r="A3238"/>
  <c r="A3239"/>
  <c r="A3240"/>
  <c r="A3241"/>
  <c r="A3242"/>
  <c r="A3243"/>
  <c r="A3244"/>
  <c r="A3245"/>
  <c r="A3246"/>
  <c r="A3247"/>
  <c r="A3248"/>
  <c r="A3249"/>
  <c r="A3250"/>
  <c r="A3251"/>
  <c r="A3252"/>
  <c r="A3253"/>
  <c r="A3254"/>
  <c r="A3255"/>
  <c r="A3256"/>
  <c r="A3257"/>
  <c r="A3258"/>
  <c r="A3259"/>
  <c r="A3260"/>
  <c r="A3261"/>
  <c r="A3262"/>
  <c r="A3263"/>
  <c r="A3264"/>
  <c r="A3265"/>
  <c r="A3266"/>
  <c r="A3267"/>
  <c r="A3268"/>
  <c r="A3269"/>
  <c r="A3270"/>
  <c r="A3271"/>
  <c r="A3272"/>
  <c r="A3273"/>
  <c r="A3274"/>
  <c r="A3275"/>
  <c r="A3276"/>
  <c r="A3277"/>
  <c r="A3278"/>
  <c r="A3279"/>
  <c r="A3280"/>
  <c r="A3281"/>
  <c r="A3282"/>
  <c r="A3283"/>
  <c r="A3284"/>
  <c r="A3285"/>
  <c r="A3286"/>
  <c r="A3287"/>
  <c r="A3288"/>
  <c r="A3289"/>
  <c r="A3290"/>
  <c r="A3291"/>
  <c r="A3292"/>
  <c r="A3293"/>
  <c r="A3294"/>
  <c r="A3295"/>
  <c r="A3296"/>
  <c r="A3297"/>
  <c r="A3298"/>
  <c r="A3299"/>
  <c r="A3300"/>
  <c r="A3301"/>
  <c r="A3302"/>
  <c r="A3303"/>
  <c r="A3304"/>
  <c r="A3305"/>
  <c r="A3306"/>
  <c r="A3307"/>
  <c r="A3308"/>
  <c r="A3309"/>
  <c r="A3310"/>
  <c r="A3311"/>
  <c r="A3312"/>
  <c r="A3313"/>
  <c r="A3314"/>
  <c r="A3315"/>
  <c r="A3316"/>
  <c r="A3317"/>
  <c r="A3318"/>
  <c r="A3319"/>
  <c r="A3320"/>
  <c r="A3321"/>
  <c r="A3322"/>
  <c r="A3323"/>
  <c r="A3324"/>
  <c r="A3325"/>
  <c r="A3326"/>
  <c r="A3327"/>
  <c r="A3328"/>
  <c r="A3329"/>
  <c r="A3330"/>
  <c r="A3331"/>
  <c r="A3332"/>
  <c r="A3333"/>
  <c r="A3334"/>
  <c r="A3335"/>
  <c r="A3336"/>
  <c r="A3337"/>
  <c r="A3338"/>
  <c r="A3339"/>
  <c r="A3340"/>
  <c r="A3341"/>
  <c r="A3342"/>
  <c r="A3343"/>
  <c r="A3344"/>
  <c r="A3345"/>
  <c r="A3346"/>
  <c r="A3347"/>
  <c r="A3348"/>
  <c r="A3349"/>
  <c r="A3350"/>
  <c r="A3351"/>
  <c r="A3352"/>
  <c r="A3353"/>
  <c r="A3354"/>
  <c r="A3355"/>
  <c r="A3356"/>
  <c r="A3357"/>
  <c r="A3358"/>
  <c r="A3359"/>
  <c r="A3360"/>
  <c r="A3361"/>
  <c r="A3362"/>
  <c r="A3363"/>
  <c r="A3364"/>
  <c r="A3365"/>
  <c r="A3366"/>
  <c r="A3367"/>
  <c r="A3368"/>
  <c r="A3369"/>
  <c r="A3370"/>
  <c r="A3371"/>
  <c r="A3372"/>
  <c r="A3373"/>
  <c r="A3374"/>
  <c r="A3375"/>
  <c r="A3376"/>
  <c r="A3377"/>
  <c r="A3378"/>
  <c r="A3379"/>
  <c r="A3380"/>
  <c r="A3381"/>
  <c r="A3382"/>
  <c r="A3383"/>
  <c r="A3384"/>
  <c r="A3385"/>
  <c r="A3386"/>
  <c r="A3387"/>
  <c r="A3388"/>
  <c r="A3389"/>
  <c r="A3390"/>
  <c r="A3391"/>
  <c r="A3392"/>
  <c r="A3393"/>
  <c r="A3394"/>
  <c r="A3395"/>
  <c r="A3396"/>
  <c r="A3397"/>
  <c r="A3398"/>
  <c r="A3399"/>
  <c r="A3400"/>
  <c r="A3401"/>
  <c r="A3402"/>
  <c r="A3403"/>
  <c r="A3404"/>
  <c r="A3405"/>
  <c r="A3406"/>
  <c r="A3407"/>
  <c r="A3408"/>
  <c r="A3409"/>
  <c r="A3410"/>
  <c r="A3411"/>
  <c r="A3412"/>
  <c r="A3413"/>
  <c r="A3414"/>
  <c r="A3415"/>
  <c r="A3416"/>
  <c r="A3417"/>
  <c r="A3418"/>
  <c r="A3419"/>
  <c r="A3420"/>
  <c r="A3421"/>
  <c r="A3422"/>
  <c r="A3423"/>
  <c r="A3424"/>
  <c r="A3425"/>
  <c r="A3426"/>
  <c r="A3427"/>
  <c r="A3428"/>
  <c r="A3429"/>
  <c r="A3430"/>
  <c r="A3431"/>
  <c r="A3432"/>
  <c r="A3433"/>
  <c r="A3434"/>
  <c r="A3435"/>
  <c r="A3436"/>
  <c r="A3437"/>
  <c r="A3438"/>
  <c r="A3439"/>
  <c r="A3440"/>
  <c r="A3441"/>
  <c r="A3442"/>
  <c r="A3443"/>
  <c r="A3444"/>
  <c r="A3445"/>
  <c r="A3446"/>
  <c r="A3447"/>
  <c r="A3448"/>
  <c r="A3449"/>
  <c r="A3450"/>
  <c r="A3451"/>
  <c r="A3452"/>
  <c r="A3453"/>
  <c r="A3454"/>
  <c r="A3455"/>
  <c r="A3456"/>
  <c r="A3457"/>
  <c r="A3458"/>
  <c r="A3459"/>
  <c r="A3460"/>
  <c r="A3461"/>
  <c r="A3462"/>
  <c r="A3463"/>
  <c r="A3464"/>
  <c r="A3465"/>
  <c r="A3466"/>
  <c r="A3467"/>
  <c r="A3468"/>
  <c r="A3469"/>
  <c r="A3470"/>
  <c r="A3471"/>
  <c r="A3472"/>
  <c r="A3473"/>
  <c r="A3474"/>
  <c r="A3475"/>
  <c r="A3476"/>
  <c r="A3477"/>
  <c r="A3478"/>
  <c r="A3479"/>
  <c r="A3480"/>
  <c r="A3481"/>
  <c r="A3482"/>
  <c r="A3483"/>
  <c r="A3484"/>
  <c r="A3485"/>
  <c r="A3486"/>
  <c r="A3487"/>
  <c r="A3488"/>
  <c r="A3489"/>
  <c r="A3490"/>
  <c r="A3491"/>
  <c r="A3492"/>
  <c r="A3493"/>
  <c r="A3494"/>
  <c r="A3495"/>
  <c r="A3496"/>
  <c r="A3497"/>
  <c r="A3498"/>
  <c r="A3499"/>
  <c r="A3500"/>
  <c r="A3501"/>
  <c r="A3502"/>
  <c r="A3503"/>
  <c r="A3504"/>
  <c r="A3505"/>
  <c r="A3506"/>
  <c r="A3507"/>
  <c r="A3508"/>
  <c r="A3509"/>
  <c r="A3510"/>
  <c r="A3511"/>
  <c r="A3512"/>
  <c r="A3513"/>
  <c r="A3514"/>
  <c r="A3515"/>
  <c r="A3516"/>
  <c r="A3517"/>
  <c r="A3518"/>
  <c r="A3519"/>
  <c r="A3520"/>
  <c r="A3521"/>
  <c r="A3522"/>
  <c r="A3523"/>
  <c r="A3524"/>
  <c r="A3525"/>
  <c r="A3526"/>
  <c r="A3527"/>
  <c r="A3528"/>
  <c r="A3529"/>
  <c r="A3530"/>
  <c r="A3531"/>
  <c r="A3532"/>
  <c r="A3533"/>
  <c r="A3534"/>
  <c r="A3535"/>
  <c r="A3536"/>
  <c r="A3537"/>
  <c r="A3538"/>
  <c r="A3539"/>
  <c r="A3540"/>
  <c r="A3541"/>
  <c r="A3542"/>
  <c r="A3543"/>
  <c r="A3544"/>
  <c r="A3545"/>
  <c r="A3546"/>
  <c r="A3547"/>
  <c r="A3548"/>
  <c r="A3549"/>
  <c r="A3550"/>
  <c r="A3551"/>
  <c r="A3552"/>
  <c r="A3553"/>
  <c r="A3554"/>
  <c r="A3555"/>
  <c r="A3556"/>
  <c r="A3557"/>
  <c r="A3558"/>
  <c r="A3559"/>
  <c r="A3560"/>
  <c r="A3561"/>
  <c r="A3562"/>
  <c r="A3563"/>
  <c r="A3564"/>
  <c r="A3565"/>
  <c r="A3566"/>
  <c r="A3567"/>
  <c r="A3568"/>
  <c r="A3569"/>
  <c r="A3570"/>
  <c r="A3571"/>
  <c r="A3572"/>
  <c r="A3573"/>
  <c r="A3574"/>
  <c r="A3575"/>
  <c r="A3576"/>
  <c r="A3577"/>
  <c r="A3578"/>
  <c r="A3579"/>
  <c r="A3580"/>
  <c r="A3581"/>
  <c r="A3582"/>
  <c r="A3583"/>
  <c r="A3584"/>
  <c r="A3585"/>
  <c r="A3586"/>
  <c r="A3587"/>
  <c r="A3588"/>
  <c r="A3589"/>
  <c r="A3590"/>
  <c r="A3591"/>
  <c r="A3592"/>
  <c r="A3593"/>
  <c r="A3594"/>
  <c r="A3595"/>
  <c r="A3596"/>
  <c r="A3597"/>
  <c r="A3598"/>
  <c r="A3599"/>
  <c r="A3600"/>
  <c r="A3601"/>
  <c r="A3602"/>
  <c r="A3603"/>
  <c r="A3604"/>
  <c r="A3605"/>
  <c r="A3606"/>
  <c r="A3607"/>
  <c r="A3608"/>
  <c r="A3609"/>
  <c r="A3610"/>
  <c r="A3611"/>
  <c r="A3612"/>
  <c r="A3613"/>
  <c r="A3614"/>
  <c r="A3615"/>
  <c r="A3616"/>
  <c r="A3617"/>
  <c r="A3618"/>
  <c r="A3619"/>
  <c r="A3620"/>
  <c r="A3621"/>
  <c r="A3622"/>
  <c r="A3623"/>
  <c r="A3624"/>
  <c r="A3625"/>
  <c r="A3626"/>
  <c r="A3627"/>
  <c r="A3628"/>
  <c r="A3629"/>
  <c r="A3630"/>
  <c r="A3631"/>
  <c r="A3632"/>
  <c r="A3633"/>
  <c r="A3634"/>
  <c r="A3635"/>
  <c r="A3636"/>
  <c r="A3637"/>
  <c r="A3638"/>
  <c r="A3639"/>
  <c r="A3640"/>
  <c r="A3641"/>
  <c r="A3642"/>
  <c r="A3643"/>
  <c r="A3644"/>
  <c r="A3645"/>
  <c r="A3646"/>
  <c r="A3647"/>
  <c r="A3648"/>
  <c r="A3649"/>
  <c r="A3650"/>
  <c r="A3651"/>
  <c r="A3652"/>
  <c r="A3653"/>
  <c r="A3654"/>
  <c r="A3655"/>
  <c r="A3656"/>
  <c r="A3657"/>
  <c r="A3658"/>
  <c r="A3659"/>
  <c r="A3660"/>
  <c r="A3661"/>
  <c r="A3662"/>
  <c r="A3663"/>
  <c r="A3664"/>
  <c r="A3665"/>
  <c r="A3666"/>
  <c r="A3667"/>
  <c r="A3668"/>
  <c r="A3669"/>
  <c r="A3670"/>
  <c r="A3671"/>
  <c r="A3672"/>
  <c r="A3673"/>
  <c r="A3674"/>
  <c r="A3675"/>
  <c r="A3676"/>
  <c r="A3677"/>
  <c r="A3678"/>
  <c r="A3679"/>
  <c r="A3680"/>
  <c r="A3681"/>
  <c r="A3682"/>
  <c r="A3683"/>
  <c r="A3684"/>
  <c r="A3685"/>
  <c r="A3686"/>
  <c r="A3687"/>
  <c r="A3688"/>
  <c r="A3689"/>
  <c r="A3690"/>
  <c r="A3691"/>
  <c r="A3692"/>
  <c r="A3693"/>
  <c r="A3694"/>
  <c r="A3695"/>
  <c r="A3696"/>
  <c r="A3697"/>
  <c r="A3698"/>
  <c r="A3699"/>
  <c r="A3700"/>
  <c r="A3701"/>
  <c r="A3702"/>
  <c r="A3703"/>
  <c r="A3704"/>
  <c r="A3705"/>
  <c r="A3706"/>
  <c r="A3707"/>
  <c r="A3708"/>
  <c r="A3709"/>
  <c r="A3710"/>
  <c r="A3711"/>
  <c r="A3712"/>
  <c r="A3713"/>
  <c r="A3714"/>
  <c r="A3715"/>
  <c r="A3716"/>
  <c r="A3717"/>
  <c r="A3718"/>
  <c r="A3719"/>
  <c r="A3720"/>
  <c r="A3721"/>
  <c r="A3722"/>
  <c r="A3723"/>
  <c r="A3724"/>
  <c r="A3725"/>
  <c r="A3726"/>
  <c r="A3727"/>
  <c r="A3728"/>
  <c r="A3729"/>
  <c r="A3730"/>
  <c r="A3731"/>
  <c r="A3732"/>
  <c r="A3733"/>
  <c r="A3734"/>
  <c r="A3735"/>
  <c r="A3736"/>
  <c r="A3737"/>
  <c r="A3738"/>
  <c r="A3739"/>
  <c r="A3740"/>
  <c r="A3741"/>
  <c r="A3742"/>
  <c r="A3743"/>
  <c r="A3744"/>
  <c r="A3745"/>
  <c r="A3746"/>
  <c r="A3747"/>
  <c r="A3748"/>
  <c r="A3749"/>
  <c r="A3750"/>
  <c r="A3751"/>
  <c r="A3752"/>
  <c r="A3753"/>
  <c r="A3754"/>
  <c r="A3755"/>
  <c r="A3756"/>
  <c r="A3757"/>
  <c r="A3758"/>
  <c r="A3759"/>
  <c r="A3760"/>
  <c r="A3761"/>
  <c r="A3762"/>
  <c r="A3763"/>
  <c r="A3764"/>
  <c r="A3765"/>
  <c r="A3766"/>
  <c r="A3767"/>
  <c r="A3768"/>
  <c r="A3769"/>
  <c r="A3770"/>
  <c r="A3771"/>
  <c r="A3772"/>
  <c r="A3773"/>
  <c r="A3774"/>
  <c r="A3775"/>
  <c r="A3776"/>
  <c r="A3777"/>
  <c r="A3778"/>
  <c r="A3779"/>
  <c r="A3780"/>
  <c r="A3781"/>
  <c r="A3782"/>
  <c r="A3783"/>
  <c r="A3784"/>
  <c r="A3785"/>
  <c r="A3786"/>
  <c r="A3787"/>
  <c r="A3788"/>
  <c r="A3789"/>
  <c r="A3790"/>
  <c r="A3791"/>
  <c r="A3792"/>
  <c r="A3793"/>
  <c r="A3794"/>
  <c r="A3795"/>
  <c r="A3796"/>
  <c r="A3797"/>
  <c r="A3798"/>
  <c r="A3799"/>
  <c r="A3800"/>
  <c r="A3801"/>
  <c r="A3802"/>
  <c r="A3803"/>
  <c r="A3804"/>
  <c r="A3805"/>
  <c r="A3806"/>
  <c r="A3807"/>
  <c r="A3808"/>
  <c r="A3809"/>
  <c r="A3810"/>
  <c r="A3811"/>
  <c r="A3812"/>
  <c r="A3813"/>
  <c r="A3814"/>
  <c r="A3815"/>
  <c r="A3816"/>
  <c r="A3817"/>
  <c r="A3818"/>
  <c r="A3819"/>
  <c r="A3820"/>
  <c r="A3821"/>
  <c r="A3822"/>
  <c r="A3823"/>
  <c r="A3824"/>
  <c r="A3825"/>
  <c r="A3826"/>
  <c r="A3827"/>
  <c r="A3828"/>
  <c r="A3829"/>
  <c r="A3830"/>
  <c r="A3831"/>
  <c r="A3832"/>
  <c r="A3833"/>
  <c r="A3834"/>
  <c r="A3835"/>
  <c r="A3836"/>
  <c r="A3837"/>
  <c r="A3838"/>
  <c r="A3839"/>
  <c r="A3840"/>
  <c r="A3841"/>
  <c r="A3842"/>
  <c r="A3843"/>
  <c r="A3844"/>
  <c r="A3845"/>
  <c r="A3846"/>
  <c r="A3847"/>
  <c r="A3848"/>
  <c r="A3849"/>
  <c r="A3850"/>
  <c r="A3851"/>
  <c r="A3852"/>
  <c r="A3853"/>
  <c r="A3854"/>
  <c r="A3855"/>
  <c r="A3856"/>
  <c r="A3857"/>
  <c r="A3858"/>
  <c r="A3859"/>
  <c r="A3860"/>
  <c r="A3861"/>
  <c r="A3862"/>
  <c r="A3863"/>
  <c r="A3864"/>
  <c r="A3865"/>
  <c r="A3866"/>
  <c r="A3867"/>
  <c r="A3868"/>
  <c r="A3869"/>
  <c r="A3870"/>
  <c r="A3871"/>
  <c r="A3872"/>
  <c r="A3873"/>
  <c r="A3874"/>
  <c r="A3875"/>
  <c r="A3876"/>
  <c r="A3877"/>
  <c r="A3878"/>
  <c r="A3879"/>
  <c r="A3880"/>
  <c r="A3881"/>
  <c r="A3882"/>
  <c r="A3883"/>
  <c r="A3884"/>
  <c r="A3885"/>
  <c r="A3886"/>
  <c r="A3887"/>
  <c r="A3888"/>
  <c r="A3889"/>
  <c r="A3890"/>
  <c r="A3891"/>
  <c r="A3892"/>
  <c r="A3893"/>
  <c r="A3894"/>
  <c r="A3895"/>
  <c r="A3896"/>
  <c r="A3897"/>
  <c r="A3898"/>
  <c r="A3899"/>
  <c r="A3900"/>
  <c r="A3901"/>
  <c r="A3902"/>
  <c r="A3903"/>
  <c r="A3904"/>
  <c r="A3905"/>
  <c r="A3906"/>
  <c r="A3907"/>
  <c r="A3908"/>
  <c r="A3909"/>
  <c r="A3910"/>
  <c r="A3911"/>
  <c r="A3912"/>
  <c r="A3913"/>
  <c r="A3914"/>
  <c r="A3915"/>
  <c r="A3916"/>
  <c r="A3917"/>
  <c r="A3918"/>
  <c r="A3919"/>
  <c r="A3920"/>
  <c r="A3921"/>
  <c r="A3922"/>
  <c r="A3923"/>
  <c r="A3924"/>
  <c r="A3925"/>
  <c r="A3926"/>
  <c r="A3927"/>
  <c r="A3928"/>
  <c r="A3929"/>
  <c r="A3930"/>
  <c r="A3931"/>
  <c r="A3932"/>
  <c r="A3933"/>
  <c r="A3934"/>
  <c r="A3935"/>
  <c r="A3936"/>
  <c r="A3937"/>
  <c r="A3938"/>
  <c r="A3939"/>
  <c r="A3940"/>
  <c r="A3941"/>
  <c r="A3942"/>
  <c r="A3943"/>
  <c r="A3944"/>
  <c r="A3945"/>
  <c r="A3946"/>
  <c r="A3947"/>
  <c r="A3948"/>
  <c r="A3949"/>
  <c r="A3950"/>
  <c r="A3951"/>
  <c r="A3952"/>
  <c r="A3953"/>
  <c r="A3954"/>
  <c r="A3955"/>
  <c r="A3956"/>
  <c r="A3957"/>
  <c r="A3958"/>
  <c r="A3959"/>
  <c r="A3960"/>
  <c r="A3961"/>
  <c r="A3962"/>
  <c r="A3963"/>
  <c r="A3964"/>
  <c r="A3965"/>
  <c r="A3966"/>
  <c r="A3967"/>
  <c r="A3968"/>
  <c r="A3969"/>
  <c r="A3970"/>
  <c r="A3971"/>
  <c r="A3972"/>
  <c r="A3973"/>
  <c r="A3974"/>
  <c r="A3975"/>
  <c r="A3976"/>
  <c r="A3977"/>
  <c r="A3978"/>
  <c r="A3979"/>
  <c r="A3980"/>
  <c r="A3981"/>
  <c r="A3982"/>
  <c r="A3983"/>
  <c r="A3984"/>
  <c r="A3985"/>
  <c r="A3986"/>
  <c r="A3987"/>
  <c r="A3988"/>
  <c r="A3989"/>
  <c r="A3990"/>
  <c r="A3991"/>
  <c r="A3992"/>
  <c r="A3993"/>
  <c r="A3994"/>
  <c r="A3995"/>
  <c r="A3996"/>
  <c r="A3997"/>
  <c r="A3998"/>
  <c r="A3999"/>
  <c r="A4000"/>
  <c r="A4001"/>
  <c r="A4002"/>
  <c r="A4003"/>
  <c r="A4004"/>
  <c r="A4005"/>
  <c r="A4006"/>
  <c r="A4007"/>
  <c r="A4008"/>
  <c r="A4009"/>
  <c r="A4010"/>
  <c r="A4011"/>
  <c r="A4012"/>
  <c r="A4013"/>
  <c r="A4014"/>
  <c r="A4015"/>
  <c r="A4016"/>
  <c r="A4017"/>
  <c r="A4018"/>
  <c r="A4019"/>
  <c r="A4020"/>
  <c r="A4021"/>
  <c r="A4022"/>
  <c r="A4023"/>
  <c r="A4024"/>
  <c r="A4025"/>
  <c r="A4026"/>
  <c r="A4027"/>
  <c r="A4028"/>
  <c r="A4029"/>
  <c r="A4030"/>
  <c r="A4031"/>
  <c r="A4032"/>
  <c r="A4033"/>
  <c r="A4034"/>
  <c r="A4035"/>
  <c r="A4036"/>
  <c r="A4037"/>
  <c r="A4038"/>
  <c r="A4039"/>
  <c r="A4040"/>
  <c r="A4041"/>
  <c r="A4042"/>
  <c r="A4043"/>
  <c r="A4044"/>
  <c r="A4045"/>
  <c r="A4046"/>
  <c r="A4047"/>
  <c r="A4048"/>
  <c r="A4049"/>
  <c r="A4050"/>
  <c r="A4051"/>
  <c r="A4052"/>
  <c r="A4053"/>
  <c r="A4054"/>
  <c r="A4055"/>
  <c r="A4056"/>
  <c r="A4057"/>
  <c r="A4058"/>
  <c r="A4059"/>
  <c r="A4060"/>
  <c r="A4061"/>
  <c r="A4062"/>
  <c r="A4063"/>
  <c r="A4064"/>
  <c r="A4065"/>
  <c r="A4066"/>
  <c r="A4067"/>
  <c r="A4068"/>
  <c r="A4069"/>
  <c r="A4070"/>
  <c r="A4071"/>
  <c r="A4072"/>
  <c r="A4073"/>
  <c r="A4074"/>
  <c r="A4075"/>
  <c r="A4076"/>
  <c r="A4077"/>
  <c r="A4078"/>
  <c r="A4079"/>
  <c r="A4080"/>
  <c r="A4081"/>
  <c r="A4082"/>
  <c r="A4083"/>
  <c r="A4084"/>
  <c r="A4085"/>
  <c r="A4086"/>
  <c r="A4087"/>
  <c r="A4088"/>
  <c r="A4089"/>
  <c r="A4090"/>
  <c r="A4091"/>
  <c r="A4092"/>
  <c r="A4093"/>
  <c r="A4094"/>
  <c r="A4095"/>
  <c r="A4096"/>
  <c r="A4097"/>
  <c r="A4098"/>
  <c r="A4099"/>
  <c r="A4100"/>
  <c r="A4101"/>
  <c r="A4102"/>
  <c r="A4103"/>
  <c r="A4104"/>
  <c r="A4105"/>
  <c r="A4106"/>
  <c r="A4107"/>
  <c r="A4108"/>
  <c r="A4109"/>
  <c r="A4110"/>
  <c r="A4111"/>
  <c r="A4112"/>
  <c r="A4113"/>
  <c r="A4114"/>
  <c r="A4115"/>
  <c r="A4116"/>
  <c r="A4117"/>
  <c r="A4118"/>
  <c r="A4119"/>
  <c r="A4120"/>
  <c r="A4121"/>
  <c r="A4122"/>
  <c r="A4123"/>
  <c r="A4124"/>
  <c r="A4125"/>
  <c r="A4126"/>
  <c r="A4127"/>
  <c r="A4128"/>
  <c r="A4129"/>
  <c r="A4130"/>
  <c r="A4131"/>
  <c r="A4132"/>
  <c r="A4133"/>
  <c r="A4134"/>
  <c r="A4135"/>
  <c r="A4136"/>
  <c r="A4137"/>
  <c r="A4138"/>
  <c r="A4139"/>
  <c r="A4140"/>
  <c r="A4141"/>
  <c r="A4142"/>
  <c r="A4143"/>
  <c r="A4144"/>
  <c r="A4145"/>
  <c r="A4146"/>
  <c r="A4147"/>
  <c r="A4148"/>
  <c r="A4149"/>
  <c r="A4150"/>
  <c r="A4151"/>
  <c r="A4152"/>
  <c r="A4153"/>
  <c r="A4154"/>
  <c r="A4155"/>
  <c r="A4156"/>
  <c r="A4157"/>
  <c r="A4158"/>
  <c r="A4159"/>
  <c r="A4160"/>
  <c r="A4161"/>
  <c r="A4162"/>
  <c r="A4163"/>
  <c r="A4164"/>
  <c r="A4165"/>
  <c r="A4166"/>
  <c r="A4167"/>
  <c r="A4168"/>
  <c r="A4169"/>
  <c r="A4170"/>
  <c r="A4171"/>
  <c r="A4172"/>
  <c r="A4173"/>
  <c r="A4174"/>
  <c r="A4175"/>
  <c r="A4176"/>
  <c r="A4177"/>
  <c r="A4178"/>
  <c r="A4179"/>
  <c r="A4180"/>
  <c r="A4181"/>
  <c r="A4182"/>
  <c r="A4183"/>
  <c r="A4184"/>
  <c r="A4185"/>
  <c r="A4186"/>
  <c r="A4187"/>
  <c r="A4188"/>
  <c r="A4189"/>
  <c r="A4190"/>
  <c r="A4191"/>
  <c r="A4192"/>
  <c r="A4193"/>
  <c r="A4194"/>
  <c r="A4195"/>
  <c r="A4196"/>
  <c r="A4197"/>
  <c r="A4198"/>
  <c r="A4199"/>
  <c r="A4200"/>
  <c r="A4201"/>
  <c r="A4202"/>
  <c r="A4203"/>
  <c r="A4204"/>
  <c r="A4205"/>
  <c r="A4206"/>
  <c r="A4207"/>
  <c r="A4208"/>
  <c r="A4209"/>
  <c r="A4210"/>
  <c r="A4211"/>
  <c r="A4212"/>
  <c r="A4213"/>
  <c r="A4214"/>
  <c r="A4215"/>
  <c r="A4216"/>
  <c r="A4217"/>
  <c r="A4218"/>
  <c r="A4219"/>
  <c r="A4220"/>
  <c r="A4221"/>
  <c r="A4222"/>
  <c r="A4223"/>
  <c r="A4224"/>
  <c r="A4225"/>
  <c r="A4226"/>
  <c r="A4227"/>
  <c r="A4228"/>
  <c r="A4229"/>
  <c r="A4230"/>
  <c r="A4231"/>
  <c r="A4232"/>
  <c r="A4233"/>
  <c r="A4234"/>
  <c r="A4235"/>
  <c r="A4236"/>
  <c r="A4237"/>
  <c r="A4238"/>
  <c r="A4239"/>
  <c r="A4240"/>
  <c r="A4241"/>
  <c r="A4242"/>
  <c r="A4243"/>
  <c r="A4244"/>
  <c r="A4245"/>
  <c r="A4246"/>
  <c r="A4247"/>
  <c r="A4248"/>
  <c r="A4249"/>
  <c r="A4250"/>
  <c r="A4251"/>
  <c r="A4252"/>
  <c r="A4253"/>
  <c r="A4254"/>
  <c r="A4255"/>
  <c r="A4256"/>
  <c r="A4257"/>
  <c r="A4258"/>
  <c r="A4259"/>
  <c r="A4260"/>
  <c r="A4261"/>
  <c r="A4262"/>
  <c r="A4263"/>
  <c r="A4264"/>
  <c r="A4265"/>
  <c r="A4266"/>
  <c r="A4267"/>
  <c r="A4268"/>
  <c r="A4269"/>
  <c r="A4270"/>
  <c r="A4271"/>
  <c r="A4272"/>
  <c r="A4273"/>
  <c r="A4274"/>
  <c r="A4275"/>
  <c r="A4276"/>
  <c r="A4277"/>
  <c r="A4278"/>
  <c r="A4279"/>
  <c r="A4280"/>
  <c r="A4281"/>
  <c r="A4282"/>
  <c r="A4283"/>
  <c r="A4284"/>
  <c r="A4285"/>
  <c r="A4286"/>
  <c r="A4287"/>
  <c r="A4288"/>
  <c r="A4289"/>
  <c r="A4290"/>
  <c r="A4291"/>
  <c r="A4292"/>
  <c r="A4293"/>
  <c r="A4294"/>
  <c r="A4295"/>
  <c r="A4296"/>
  <c r="A4297"/>
  <c r="A4298"/>
  <c r="A4299"/>
  <c r="A4300"/>
  <c r="A4301"/>
  <c r="A4302"/>
  <c r="A4303"/>
  <c r="A4304"/>
  <c r="A4305"/>
  <c r="A4306"/>
  <c r="A4307"/>
  <c r="A4308"/>
  <c r="A4309"/>
  <c r="A4310"/>
  <c r="A4311"/>
  <c r="A4312"/>
  <c r="A4313"/>
  <c r="A4314"/>
  <c r="A4315"/>
  <c r="A4316"/>
  <c r="A4317"/>
  <c r="A4318"/>
  <c r="A4319"/>
  <c r="A4320"/>
  <c r="A4321"/>
  <c r="A4322"/>
  <c r="A4323"/>
  <c r="A4324"/>
  <c r="A4325"/>
  <c r="A4326"/>
  <c r="A4327"/>
  <c r="A4328"/>
  <c r="A4329"/>
  <c r="A4330"/>
  <c r="A4331"/>
  <c r="A4332"/>
  <c r="A4333"/>
  <c r="A4334"/>
  <c r="A4335"/>
  <c r="A4336"/>
  <c r="A4337"/>
  <c r="A4338"/>
  <c r="A4339"/>
  <c r="A4340"/>
  <c r="A4341"/>
  <c r="A4342"/>
  <c r="A4343"/>
  <c r="A4344"/>
  <c r="A4345"/>
  <c r="A4346"/>
  <c r="A4347"/>
  <c r="A4348"/>
  <c r="A4349"/>
  <c r="A4350"/>
  <c r="A4351"/>
  <c r="A4352"/>
  <c r="A4353"/>
  <c r="A4354"/>
  <c r="A4355"/>
  <c r="A4356"/>
  <c r="A4357"/>
  <c r="A4358"/>
  <c r="A4359"/>
  <c r="A4360"/>
  <c r="A4361"/>
  <c r="A4362"/>
  <c r="A4363"/>
  <c r="A4364"/>
  <c r="A4365"/>
  <c r="A4366"/>
  <c r="A4367"/>
  <c r="A4368"/>
  <c r="A4369"/>
  <c r="A4370"/>
  <c r="A4371"/>
  <c r="A4372"/>
  <c r="A4373"/>
  <c r="A4374"/>
  <c r="A4375"/>
  <c r="A4376"/>
  <c r="A4377"/>
  <c r="A4378"/>
  <c r="A4379"/>
  <c r="A4380"/>
  <c r="A4381"/>
  <c r="A4382"/>
  <c r="A4383"/>
  <c r="A4384"/>
  <c r="A4385"/>
  <c r="A4386"/>
  <c r="A4387"/>
  <c r="A4388"/>
  <c r="A4389"/>
  <c r="A4390"/>
  <c r="A4391"/>
  <c r="A4392"/>
  <c r="A4393"/>
  <c r="A4394"/>
  <c r="A4395"/>
  <c r="A4396"/>
  <c r="A4397"/>
  <c r="A4398"/>
  <c r="A4399"/>
  <c r="A4400"/>
  <c r="A4401"/>
  <c r="A4402"/>
  <c r="A4403"/>
  <c r="A4404"/>
  <c r="A4405"/>
  <c r="A4406"/>
  <c r="A4407"/>
  <c r="A4408"/>
  <c r="A4409"/>
  <c r="A4410"/>
  <c r="A4411"/>
  <c r="A4412"/>
  <c r="A4413"/>
  <c r="A4414"/>
  <c r="A4415"/>
  <c r="A4416"/>
  <c r="A4417"/>
  <c r="A4418"/>
  <c r="A4419"/>
  <c r="A4420"/>
  <c r="A4421"/>
  <c r="A4422"/>
  <c r="A4423"/>
  <c r="A4424"/>
  <c r="A4425"/>
  <c r="A4426"/>
  <c r="A4427"/>
  <c r="A4428"/>
  <c r="A4429"/>
  <c r="A4430"/>
  <c r="A4431"/>
  <c r="A4432"/>
  <c r="A4433"/>
  <c r="A4434"/>
  <c r="A4435"/>
  <c r="A4436"/>
  <c r="A4437"/>
  <c r="A4438"/>
  <c r="A4439"/>
  <c r="A4440"/>
  <c r="A4441"/>
  <c r="A4442"/>
  <c r="A4443"/>
  <c r="A4444"/>
  <c r="A4445"/>
  <c r="A4446"/>
  <c r="A4447"/>
  <c r="A4448"/>
  <c r="A4449"/>
  <c r="A4450"/>
  <c r="A4451"/>
  <c r="A4452"/>
  <c r="A4453"/>
  <c r="A4454"/>
  <c r="A4455"/>
  <c r="A4456"/>
  <c r="A4457"/>
  <c r="A4458"/>
  <c r="A4459"/>
  <c r="A4460"/>
  <c r="A4461"/>
  <c r="A4462"/>
  <c r="A4463"/>
  <c r="A4464"/>
  <c r="A4465"/>
  <c r="A4466"/>
  <c r="A4467"/>
  <c r="A4468"/>
  <c r="A4469"/>
  <c r="A4470"/>
  <c r="A4471"/>
  <c r="A4472"/>
  <c r="A4473"/>
  <c r="A4474"/>
  <c r="A4475"/>
  <c r="A4476"/>
  <c r="A4477"/>
  <c r="A4478"/>
  <c r="A4479"/>
  <c r="A4480"/>
  <c r="A4481"/>
  <c r="A4482"/>
  <c r="A4483"/>
  <c r="A4484"/>
  <c r="A4485"/>
  <c r="A4486"/>
  <c r="A4487"/>
  <c r="A4488"/>
  <c r="A4489"/>
  <c r="A4490"/>
  <c r="A4491"/>
  <c r="A4492"/>
  <c r="A4493"/>
  <c r="A4494"/>
  <c r="A4495"/>
  <c r="A4496"/>
  <c r="A4497"/>
  <c r="A4498"/>
  <c r="A4499"/>
  <c r="A4500"/>
  <c r="A4501"/>
  <c r="A4502"/>
  <c r="A4503"/>
  <c r="A4504"/>
  <c r="A4505"/>
  <c r="A4506"/>
  <c r="A4507"/>
  <c r="A4508"/>
  <c r="A4509"/>
  <c r="A4510"/>
  <c r="A4511"/>
  <c r="A4512"/>
  <c r="A4513"/>
  <c r="A4514"/>
  <c r="A4515"/>
  <c r="A4516"/>
  <c r="A4517"/>
  <c r="A4518"/>
  <c r="A4519"/>
  <c r="A4520"/>
  <c r="A4521"/>
  <c r="A4522"/>
  <c r="A4523"/>
  <c r="A4524"/>
  <c r="A4525"/>
  <c r="A4526"/>
  <c r="A4527"/>
  <c r="A4528"/>
  <c r="A4529"/>
  <c r="A4530"/>
  <c r="A4531"/>
  <c r="A4532"/>
  <c r="A4533"/>
  <c r="A4534"/>
  <c r="A4535"/>
  <c r="A4536"/>
  <c r="A4537"/>
  <c r="A4538"/>
  <c r="A4539"/>
  <c r="A4540"/>
  <c r="A4541"/>
  <c r="A4542"/>
  <c r="A4543"/>
  <c r="A4544"/>
  <c r="A4545"/>
  <c r="A4546"/>
  <c r="A4547"/>
  <c r="A4548"/>
  <c r="A4549"/>
  <c r="A4550"/>
  <c r="A4551"/>
  <c r="A4552"/>
  <c r="A4553"/>
  <c r="A4554"/>
  <c r="A4555"/>
  <c r="A4556"/>
  <c r="A4557"/>
  <c r="A4558"/>
  <c r="A4559"/>
  <c r="A4560"/>
  <c r="A4561"/>
  <c r="A4562"/>
  <c r="A4563"/>
  <c r="A4564"/>
  <c r="A4565"/>
  <c r="A4566"/>
  <c r="A4567"/>
  <c r="A4568"/>
  <c r="A4569"/>
  <c r="A4570"/>
  <c r="A4571"/>
  <c r="A4572"/>
  <c r="A4573"/>
  <c r="A4574"/>
  <c r="A4575"/>
  <c r="A4576"/>
  <c r="A4577"/>
  <c r="A4578"/>
  <c r="A4579"/>
  <c r="A4580"/>
  <c r="A4581"/>
  <c r="A4582"/>
  <c r="A4583"/>
  <c r="A4584"/>
  <c r="A4585"/>
  <c r="A4586"/>
  <c r="A4587"/>
  <c r="A4588"/>
  <c r="A4589"/>
  <c r="A4590"/>
  <c r="A4591"/>
  <c r="A4592"/>
  <c r="A4593"/>
  <c r="A4594"/>
  <c r="A4595"/>
  <c r="A4596"/>
  <c r="A4597"/>
  <c r="A4598"/>
  <c r="A4599"/>
  <c r="A4600"/>
  <c r="A4601"/>
  <c r="A4602"/>
  <c r="A4603"/>
  <c r="A4604"/>
  <c r="A4605"/>
  <c r="A4606"/>
  <c r="A4607"/>
  <c r="A4608"/>
  <c r="A4609"/>
  <c r="A4610"/>
  <c r="A4611"/>
  <c r="A4612"/>
  <c r="A4613"/>
  <c r="A4614"/>
  <c r="A4615"/>
  <c r="A4616"/>
  <c r="A4617"/>
  <c r="A4618"/>
  <c r="A4619"/>
  <c r="A4620"/>
  <c r="A4621"/>
  <c r="A4622"/>
  <c r="A4623"/>
  <c r="A4624"/>
  <c r="A4625"/>
  <c r="A4626"/>
  <c r="A4627"/>
  <c r="A4628"/>
  <c r="A4629"/>
  <c r="A4630"/>
  <c r="A4631"/>
  <c r="A4632"/>
  <c r="A4633"/>
  <c r="A4634"/>
  <c r="A4635"/>
  <c r="A4636"/>
  <c r="A4637"/>
  <c r="A4638"/>
  <c r="A4639"/>
  <c r="A4640"/>
  <c r="A4641"/>
  <c r="A4642"/>
  <c r="A4643"/>
  <c r="A4644"/>
  <c r="A4645"/>
  <c r="A4646"/>
  <c r="A4647"/>
  <c r="A4648"/>
  <c r="A4649"/>
  <c r="A4650"/>
  <c r="A4651"/>
  <c r="A4652"/>
  <c r="A4653"/>
  <c r="A4654"/>
  <c r="A4655"/>
  <c r="A4656"/>
  <c r="A4657"/>
  <c r="A4658"/>
  <c r="A4659"/>
  <c r="A4660"/>
  <c r="A4661"/>
  <c r="A4662"/>
  <c r="A4663"/>
  <c r="A4664"/>
  <c r="A4665"/>
  <c r="A4666"/>
  <c r="A4667"/>
  <c r="A4668"/>
  <c r="A4669"/>
  <c r="A4670"/>
  <c r="A4671"/>
  <c r="A4672"/>
  <c r="A4673"/>
  <c r="A4674"/>
  <c r="A4675"/>
  <c r="A4676"/>
  <c r="A4677"/>
  <c r="A4678"/>
  <c r="A4679"/>
  <c r="A4680"/>
  <c r="A4681"/>
  <c r="A4682"/>
  <c r="A4683"/>
  <c r="A4684"/>
  <c r="A4685"/>
  <c r="A4686"/>
  <c r="A4687"/>
  <c r="A4688"/>
  <c r="A4689"/>
  <c r="A4690"/>
  <c r="A4691"/>
  <c r="A4692"/>
  <c r="A4693"/>
  <c r="A4694"/>
  <c r="A4695"/>
  <c r="A4696"/>
  <c r="A4697"/>
  <c r="A4698"/>
  <c r="A4699"/>
  <c r="A4700"/>
  <c r="A4701"/>
  <c r="A4702"/>
  <c r="A4703"/>
  <c r="A4704"/>
  <c r="A4705"/>
  <c r="A4706"/>
  <c r="A4707"/>
  <c r="A4708"/>
  <c r="A4709"/>
  <c r="A4710"/>
  <c r="A4711"/>
  <c r="A4712"/>
  <c r="A4713"/>
  <c r="A4714"/>
  <c r="A4715"/>
  <c r="A4716"/>
  <c r="A4717"/>
  <c r="A4718"/>
  <c r="A4719"/>
  <c r="A4720"/>
  <c r="A4721"/>
  <c r="A4722"/>
  <c r="A4723"/>
  <c r="A4724"/>
  <c r="A4725"/>
  <c r="A4726"/>
  <c r="A4727"/>
  <c r="A4728"/>
  <c r="A4729"/>
  <c r="A4730"/>
  <c r="A4731"/>
  <c r="A4732"/>
  <c r="A4733"/>
  <c r="A4734"/>
  <c r="A4735"/>
  <c r="A4736"/>
  <c r="A4737"/>
  <c r="A4738"/>
  <c r="A4739"/>
  <c r="A4740"/>
  <c r="A4741"/>
  <c r="A4742"/>
  <c r="A4743"/>
  <c r="A4744"/>
  <c r="A4745"/>
  <c r="A4746"/>
  <c r="A4747"/>
  <c r="A4748"/>
  <c r="A4749"/>
  <c r="A4750"/>
  <c r="A4751"/>
  <c r="A4752"/>
  <c r="A4753"/>
  <c r="A4754"/>
  <c r="A4755"/>
  <c r="A4756"/>
  <c r="A4757"/>
  <c r="A4758"/>
  <c r="A4759"/>
  <c r="A4760"/>
  <c r="A4761"/>
  <c r="A4762"/>
  <c r="A4763"/>
  <c r="A4764"/>
  <c r="A4765"/>
  <c r="A4766"/>
  <c r="A4767"/>
  <c r="A4768"/>
  <c r="A4769"/>
  <c r="A4770"/>
  <c r="A4771"/>
  <c r="A4772"/>
  <c r="A4773"/>
  <c r="A4774"/>
  <c r="A4775"/>
  <c r="A4776"/>
  <c r="A4777"/>
  <c r="A4778"/>
  <c r="A4779"/>
  <c r="A4780"/>
  <c r="A4781"/>
  <c r="A4782"/>
  <c r="A4783"/>
  <c r="A4784"/>
  <c r="A4785"/>
  <c r="A4786"/>
  <c r="A4787"/>
  <c r="A4788"/>
  <c r="A4789"/>
  <c r="A4790"/>
  <c r="A4791"/>
  <c r="A4792"/>
  <c r="A4793"/>
  <c r="A4794"/>
  <c r="A4795"/>
  <c r="A4796"/>
  <c r="A4797"/>
  <c r="A4798"/>
  <c r="A4799"/>
  <c r="A4800"/>
  <c r="A4801"/>
  <c r="A4802"/>
  <c r="A4803"/>
  <c r="A4804"/>
  <c r="A4805"/>
  <c r="A4806"/>
  <c r="A4807"/>
  <c r="A4808"/>
  <c r="A4809"/>
  <c r="A4810"/>
  <c r="A4811"/>
  <c r="A4812"/>
  <c r="A4813"/>
  <c r="A4814"/>
  <c r="A4815"/>
  <c r="A4816"/>
  <c r="A4817"/>
  <c r="A4818"/>
  <c r="A4819"/>
  <c r="A4820"/>
  <c r="A4821"/>
  <c r="A4822"/>
  <c r="A4823"/>
  <c r="A4824"/>
  <c r="A4825"/>
  <c r="A4826"/>
  <c r="A4827"/>
  <c r="A4828"/>
  <c r="A4829"/>
  <c r="A4830"/>
  <c r="A4831"/>
  <c r="A4832"/>
  <c r="A4833"/>
  <c r="A4834"/>
  <c r="A4835"/>
  <c r="A4836"/>
  <c r="A4837"/>
  <c r="A4838"/>
  <c r="A4839"/>
  <c r="A4840"/>
  <c r="A4841"/>
  <c r="A4842"/>
  <c r="A4843"/>
  <c r="A4844"/>
  <c r="A4845"/>
  <c r="A4846"/>
  <c r="A4847"/>
  <c r="A4848"/>
  <c r="A4849"/>
  <c r="A4850"/>
  <c r="A4851"/>
  <c r="A4852"/>
  <c r="A4853"/>
  <c r="A4854"/>
  <c r="A4855"/>
  <c r="A4856"/>
  <c r="A4857"/>
  <c r="A4858"/>
  <c r="A4859"/>
  <c r="A4860"/>
  <c r="A4861"/>
  <c r="A4862"/>
  <c r="A4863"/>
  <c r="A4864"/>
  <c r="A4865"/>
  <c r="A4866"/>
  <c r="A4867"/>
  <c r="A4868"/>
  <c r="A4869"/>
  <c r="A4870"/>
  <c r="A4871"/>
  <c r="A4872"/>
  <c r="A4873"/>
  <c r="A4874"/>
  <c r="A4875"/>
  <c r="A4876"/>
  <c r="A4877"/>
  <c r="A4878"/>
  <c r="A4879"/>
  <c r="A4880"/>
  <c r="A4881"/>
  <c r="A4882"/>
  <c r="A4883"/>
  <c r="A4884"/>
  <c r="A4885"/>
  <c r="A4886"/>
  <c r="A4887"/>
  <c r="A4888"/>
  <c r="A4889"/>
  <c r="A4890"/>
  <c r="A4891"/>
  <c r="A4892"/>
  <c r="A4893"/>
  <c r="A4894"/>
  <c r="A4895"/>
  <c r="A4896"/>
  <c r="A4897"/>
  <c r="A4898"/>
  <c r="A4899"/>
  <c r="A4900"/>
  <c r="A4901"/>
  <c r="A4902"/>
  <c r="A4903"/>
  <c r="A4904"/>
  <c r="A4905"/>
  <c r="A4906"/>
  <c r="A4907"/>
  <c r="A4908"/>
  <c r="A4909"/>
  <c r="A4910"/>
  <c r="A4911"/>
  <c r="A4912"/>
  <c r="A4913"/>
  <c r="A4914"/>
  <c r="A4915"/>
  <c r="A4916"/>
  <c r="A4917"/>
  <c r="A4918"/>
  <c r="A4919"/>
  <c r="A4920"/>
  <c r="A4921"/>
  <c r="A4922"/>
  <c r="A4923"/>
  <c r="A4924"/>
  <c r="A4925"/>
  <c r="A4926"/>
  <c r="A4927"/>
  <c r="A4928"/>
  <c r="A4929"/>
  <c r="A4930"/>
  <c r="A4931"/>
  <c r="A4932"/>
  <c r="A4933"/>
  <c r="A4934"/>
  <c r="A4935"/>
  <c r="A4936"/>
  <c r="A4937"/>
  <c r="A4938"/>
  <c r="A4939"/>
  <c r="A4940"/>
  <c r="A4941"/>
  <c r="A4942"/>
  <c r="A4943"/>
  <c r="A4944"/>
  <c r="A4945"/>
  <c r="A4946"/>
  <c r="A4947"/>
  <c r="A4948"/>
  <c r="A4949"/>
  <c r="A4950"/>
  <c r="A4951"/>
  <c r="A4952"/>
  <c r="A4953"/>
  <c r="A4954"/>
  <c r="A4955"/>
  <c r="A4956"/>
  <c r="A4957"/>
  <c r="A4958"/>
  <c r="A4959"/>
  <c r="A4960"/>
  <c r="A4961"/>
  <c r="A4962"/>
  <c r="A4963"/>
  <c r="A4964"/>
  <c r="A4965"/>
  <c r="A4966"/>
  <c r="A4967"/>
  <c r="A4968"/>
  <c r="A4969"/>
  <c r="A4970"/>
  <c r="A4971"/>
  <c r="A4972"/>
  <c r="A4973"/>
  <c r="A4974"/>
  <c r="A4975"/>
  <c r="A4976"/>
  <c r="A4977"/>
  <c r="A4978"/>
  <c r="A4979"/>
  <c r="A4980"/>
  <c r="A4981"/>
  <c r="A4982"/>
  <c r="A4983"/>
  <c r="A4984"/>
  <c r="A4985"/>
  <c r="A4986"/>
  <c r="A4987"/>
  <c r="A4988"/>
  <c r="A4989"/>
  <c r="A4990"/>
  <c r="A4991"/>
  <c r="A4992"/>
  <c r="A4993"/>
  <c r="A4994"/>
  <c r="A4995"/>
  <c r="A4996"/>
  <c r="A4997"/>
  <c r="A4998"/>
  <c r="A4999"/>
  <c r="A5000"/>
  <c r="A5001"/>
  <c r="A5002"/>
  <c r="A5003"/>
  <c r="A5004"/>
  <c r="A5005"/>
  <c r="A5006"/>
  <c r="A5007"/>
  <c r="A5008"/>
  <c r="A5009"/>
  <c r="A5010"/>
  <c r="A5011"/>
  <c r="A5012"/>
  <c r="A5013"/>
  <c r="A5014"/>
  <c r="A5015"/>
  <c r="A5016"/>
  <c r="A5017"/>
  <c r="A5018"/>
  <c r="A5019"/>
  <c r="A5020"/>
  <c r="A5021"/>
  <c r="A5022"/>
  <c r="A5023"/>
  <c r="A5024"/>
  <c r="A5025"/>
  <c r="A5026"/>
  <c r="A5027"/>
  <c r="A5028"/>
  <c r="A5029"/>
  <c r="A5030"/>
  <c r="A5031"/>
  <c r="A5032"/>
  <c r="A5033"/>
  <c r="A5034"/>
  <c r="A5035"/>
  <c r="A5036"/>
  <c r="A5037"/>
  <c r="A5038"/>
  <c r="A5039"/>
  <c r="A5040"/>
  <c r="A5041"/>
  <c r="A5042"/>
  <c r="A5043"/>
  <c r="A5044"/>
  <c r="A5045"/>
  <c r="A5046"/>
  <c r="A5047"/>
  <c r="A5048"/>
  <c r="A5049"/>
  <c r="A5050"/>
  <c r="A5051"/>
  <c r="A5052"/>
  <c r="A5053"/>
  <c r="A5054"/>
  <c r="A5055"/>
  <c r="A5056"/>
  <c r="A5057"/>
  <c r="A5058"/>
  <c r="A5059"/>
  <c r="A5060"/>
  <c r="A5061"/>
  <c r="A5062"/>
  <c r="A5063"/>
  <c r="A5064"/>
  <c r="A5065"/>
  <c r="A5066"/>
  <c r="A5067"/>
  <c r="A5068"/>
  <c r="A5069"/>
  <c r="A5070"/>
  <c r="A5071"/>
  <c r="A5072"/>
  <c r="A5073"/>
  <c r="A5074"/>
  <c r="A5075"/>
  <c r="A5076"/>
  <c r="A5077"/>
  <c r="A5078"/>
  <c r="A5079"/>
  <c r="A5080"/>
  <c r="A5081"/>
  <c r="A5082"/>
  <c r="A5083"/>
  <c r="A5084"/>
  <c r="A5085"/>
  <c r="A5086"/>
  <c r="A5087"/>
  <c r="A5088"/>
  <c r="A5089"/>
  <c r="A5090"/>
  <c r="A5091"/>
  <c r="A5092"/>
  <c r="A5093"/>
  <c r="A5094"/>
  <c r="A5095"/>
  <c r="A5096"/>
  <c r="A5097"/>
  <c r="A5098"/>
  <c r="A5099"/>
  <c r="A5100"/>
  <c r="A5101"/>
  <c r="A5102"/>
  <c r="A5103"/>
  <c r="A5104"/>
  <c r="A5105"/>
  <c r="A5106"/>
  <c r="A5107"/>
  <c r="A5108"/>
  <c r="A5109"/>
  <c r="A5110"/>
  <c r="A5111"/>
  <c r="A5112"/>
  <c r="A5113"/>
  <c r="A5114"/>
  <c r="A5115"/>
  <c r="A5116"/>
  <c r="A5117"/>
  <c r="A5118"/>
  <c r="A5119"/>
  <c r="A5120"/>
  <c r="A5121"/>
  <c r="A5122"/>
  <c r="A5123"/>
  <c r="A5124"/>
  <c r="A5125"/>
  <c r="A5126"/>
  <c r="A5127"/>
  <c r="A5128"/>
  <c r="A5129"/>
  <c r="A5130"/>
  <c r="A5131"/>
  <c r="A5132"/>
  <c r="A5133"/>
  <c r="A5134"/>
  <c r="A5135"/>
  <c r="A5136"/>
  <c r="A5137"/>
  <c r="A5138"/>
  <c r="A5139"/>
  <c r="A5140"/>
  <c r="A5141"/>
  <c r="A5142"/>
  <c r="A5143"/>
  <c r="A5144"/>
  <c r="A5145"/>
  <c r="A5146"/>
  <c r="A5147"/>
  <c r="A5148"/>
  <c r="A5149"/>
  <c r="A5150"/>
  <c r="A5151"/>
  <c r="A5152"/>
  <c r="A5153"/>
  <c r="A5154"/>
  <c r="A5155"/>
  <c r="A5156"/>
  <c r="A5157"/>
  <c r="A5158"/>
  <c r="A5159"/>
  <c r="A5160"/>
  <c r="A5161"/>
  <c r="A5162"/>
  <c r="A5163"/>
  <c r="A5164"/>
  <c r="A5165"/>
  <c r="A5166"/>
  <c r="A5167"/>
  <c r="A5168"/>
  <c r="A5169"/>
  <c r="A5170"/>
  <c r="A5171"/>
  <c r="A5172"/>
  <c r="A5173"/>
  <c r="A5174"/>
  <c r="A5175"/>
  <c r="A5176"/>
  <c r="A5177"/>
  <c r="A5178"/>
  <c r="A5179"/>
  <c r="A5180"/>
  <c r="A5181"/>
  <c r="A5182"/>
  <c r="A5183"/>
  <c r="A5184"/>
  <c r="A5185"/>
  <c r="A5186"/>
  <c r="A5187"/>
  <c r="A5188"/>
  <c r="A5189"/>
  <c r="A5190"/>
  <c r="A5191"/>
  <c r="A5192"/>
  <c r="A5193"/>
  <c r="A5194"/>
  <c r="A5195"/>
  <c r="A5196"/>
  <c r="A5197"/>
  <c r="A5198"/>
  <c r="A5199"/>
  <c r="A5200"/>
  <c r="A5201"/>
  <c r="A5202"/>
  <c r="A5203"/>
  <c r="A5204"/>
  <c r="A5205"/>
  <c r="A5206"/>
  <c r="A5207"/>
  <c r="A5208"/>
  <c r="A5209"/>
  <c r="A5210"/>
  <c r="A5211"/>
  <c r="A5212"/>
  <c r="A5213"/>
  <c r="A5214"/>
  <c r="A5215"/>
  <c r="A5216"/>
  <c r="A5217"/>
  <c r="A5218"/>
  <c r="A5219"/>
  <c r="A5220"/>
  <c r="A5221"/>
  <c r="A5222"/>
  <c r="A5223"/>
  <c r="A5224"/>
  <c r="A5225"/>
  <c r="A5226"/>
  <c r="A5227"/>
  <c r="A5228"/>
  <c r="A5229"/>
  <c r="A5230"/>
  <c r="A5231"/>
  <c r="A5232"/>
  <c r="A5233"/>
  <c r="A5234"/>
  <c r="A5235"/>
  <c r="A5236"/>
  <c r="A5237"/>
  <c r="A5238"/>
  <c r="A5239"/>
  <c r="A5240"/>
  <c r="A5241"/>
  <c r="A5242"/>
  <c r="A5243"/>
  <c r="A5244"/>
  <c r="A5245"/>
  <c r="A5246"/>
  <c r="A5247"/>
  <c r="A5248"/>
  <c r="A5249"/>
  <c r="A5250"/>
  <c r="A5251"/>
  <c r="A5252"/>
  <c r="A5253"/>
  <c r="A5254"/>
  <c r="A5255"/>
  <c r="A5256"/>
  <c r="A5257"/>
  <c r="A5258"/>
  <c r="A5259"/>
  <c r="A5260"/>
  <c r="A5261"/>
  <c r="A5262"/>
  <c r="A5263"/>
  <c r="A5264"/>
  <c r="A5265"/>
  <c r="A5266"/>
  <c r="A5267"/>
  <c r="A5268"/>
  <c r="A5269"/>
  <c r="A5270"/>
  <c r="A5271"/>
  <c r="A5272"/>
  <c r="A5273"/>
  <c r="A5274"/>
  <c r="A5275"/>
  <c r="A5276"/>
  <c r="A5277"/>
  <c r="A5278"/>
  <c r="A5279"/>
  <c r="A5280"/>
  <c r="A5281"/>
  <c r="A5282"/>
  <c r="A5283"/>
  <c r="A5284"/>
  <c r="A5285"/>
  <c r="A5286"/>
  <c r="A5287"/>
  <c r="A5288"/>
  <c r="A5289"/>
  <c r="A5290"/>
  <c r="A5291"/>
  <c r="A5292"/>
  <c r="A5293"/>
  <c r="A5294"/>
  <c r="A5295"/>
  <c r="A5296"/>
  <c r="A5297"/>
  <c r="A5298"/>
  <c r="A5299"/>
  <c r="A5300"/>
  <c r="A5301"/>
  <c r="A5302"/>
  <c r="A5303"/>
  <c r="A5304"/>
  <c r="A5305"/>
  <c r="A5306"/>
  <c r="A5307"/>
  <c r="A5308"/>
  <c r="A5309"/>
  <c r="A5310"/>
  <c r="A5311"/>
  <c r="A5312"/>
  <c r="A5313"/>
  <c r="A5314"/>
  <c r="A5315"/>
  <c r="A5316"/>
  <c r="A5317"/>
  <c r="A5318"/>
  <c r="A5319"/>
  <c r="A5320"/>
  <c r="A5321"/>
  <c r="A5322"/>
  <c r="A5323"/>
  <c r="A5324"/>
  <c r="A5325"/>
  <c r="A5326"/>
  <c r="A5327"/>
  <c r="A5328"/>
  <c r="A5329"/>
  <c r="A5330"/>
  <c r="A5331"/>
  <c r="A5332"/>
  <c r="A5333"/>
  <c r="A5334"/>
  <c r="A5335"/>
  <c r="A5336"/>
  <c r="A5337"/>
  <c r="A5338"/>
  <c r="A5339"/>
  <c r="A5340"/>
  <c r="A5341"/>
  <c r="A5342"/>
  <c r="A5343"/>
  <c r="A5344"/>
  <c r="A5345"/>
  <c r="A5346"/>
  <c r="A5347"/>
  <c r="A5348"/>
  <c r="A5349"/>
  <c r="A5350"/>
  <c r="A5351"/>
  <c r="A5352"/>
  <c r="A5353"/>
  <c r="A5354"/>
  <c r="A5355"/>
  <c r="A5356"/>
  <c r="A5357"/>
  <c r="A5358"/>
  <c r="A5359"/>
  <c r="A5360"/>
  <c r="A5361"/>
  <c r="A5362"/>
  <c r="A5363"/>
  <c r="A5364"/>
  <c r="A5365"/>
  <c r="A5366"/>
  <c r="A5367"/>
  <c r="A5368"/>
  <c r="A5369"/>
  <c r="A5370"/>
  <c r="A5371"/>
  <c r="A5372"/>
  <c r="A5373"/>
  <c r="A5374"/>
  <c r="A5375"/>
  <c r="A5376"/>
  <c r="A5377"/>
  <c r="A5378"/>
  <c r="A5379"/>
  <c r="A5380"/>
  <c r="A5381"/>
  <c r="A5382"/>
  <c r="A5383"/>
  <c r="A5384"/>
  <c r="A5385"/>
  <c r="A5386"/>
  <c r="A5387"/>
  <c r="A5388"/>
  <c r="A5389"/>
  <c r="A5390"/>
  <c r="A5391"/>
  <c r="A5392"/>
  <c r="A5393"/>
  <c r="A5394"/>
  <c r="A5395"/>
  <c r="A5396"/>
  <c r="A5397"/>
  <c r="A5398"/>
  <c r="A5399"/>
  <c r="A5400"/>
  <c r="A5401"/>
  <c r="A5402"/>
  <c r="A5403"/>
  <c r="A5404"/>
  <c r="A5405"/>
  <c r="A5406"/>
  <c r="A5407"/>
  <c r="A5408"/>
  <c r="A5409"/>
  <c r="A5410"/>
  <c r="A5411"/>
  <c r="A5412"/>
  <c r="A5413"/>
  <c r="A5414"/>
  <c r="A5415"/>
  <c r="A5416"/>
  <c r="A5417"/>
  <c r="A5418"/>
  <c r="A5419"/>
  <c r="A5420"/>
  <c r="A5421"/>
  <c r="A5422"/>
  <c r="A5423"/>
  <c r="A5424"/>
  <c r="A5425"/>
  <c r="A5426"/>
  <c r="A5427"/>
  <c r="A5428"/>
  <c r="A5429"/>
  <c r="A5430"/>
  <c r="A5431"/>
  <c r="A5432"/>
  <c r="A5433"/>
  <c r="A5434"/>
  <c r="A5435"/>
  <c r="A5436"/>
  <c r="A5437"/>
  <c r="A5438"/>
  <c r="A5439"/>
  <c r="A5440"/>
  <c r="A5441"/>
  <c r="A5442"/>
  <c r="A5443"/>
  <c r="A5444"/>
  <c r="A5445"/>
  <c r="A5446"/>
  <c r="A5447"/>
  <c r="A5448"/>
  <c r="A5449"/>
  <c r="A5450"/>
  <c r="A5451"/>
  <c r="A5452"/>
  <c r="A5453"/>
  <c r="A5454"/>
  <c r="A5455"/>
  <c r="A5456"/>
  <c r="A5457"/>
  <c r="A5458"/>
  <c r="A5459"/>
  <c r="A5460"/>
  <c r="A5461"/>
  <c r="A5462"/>
  <c r="A5463"/>
  <c r="A5464"/>
  <c r="A5465"/>
  <c r="A5466"/>
  <c r="A5467"/>
  <c r="A5468"/>
  <c r="A5469"/>
  <c r="A5470"/>
  <c r="A5471"/>
  <c r="A5472"/>
  <c r="A5473"/>
  <c r="A5474"/>
  <c r="A5475"/>
  <c r="A5476"/>
  <c r="A5477"/>
  <c r="A5478"/>
  <c r="A5479"/>
  <c r="A5480"/>
  <c r="A5481"/>
  <c r="A5482"/>
  <c r="A5483"/>
  <c r="A5484"/>
  <c r="A5485"/>
  <c r="A5486"/>
  <c r="A5487"/>
  <c r="A5488"/>
  <c r="A5489"/>
  <c r="A5490"/>
  <c r="A5491"/>
  <c r="A5492"/>
  <c r="A5493"/>
  <c r="A5494"/>
  <c r="A5495"/>
  <c r="A5496"/>
  <c r="A5497"/>
  <c r="A5498"/>
  <c r="A5499"/>
  <c r="A5500"/>
  <c r="A5501"/>
  <c r="A5502"/>
  <c r="A5503"/>
  <c r="A5504"/>
  <c r="A5505"/>
  <c r="A5506"/>
  <c r="A5507"/>
  <c r="A5508"/>
  <c r="A5509"/>
  <c r="A5510"/>
  <c r="A5511"/>
  <c r="A5512"/>
  <c r="A5513"/>
  <c r="A5514"/>
  <c r="A5515"/>
  <c r="A5516"/>
  <c r="A5517"/>
  <c r="A5518"/>
  <c r="A5519"/>
  <c r="A5520"/>
  <c r="A5521"/>
  <c r="A5522"/>
  <c r="A5523"/>
  <c r="A5524"/>
  <c r="A5525"/>
  <c r="A5526"/>
  <c r="A5527"/>
  <c r="A5528"/>
  <c r="A5529"/>
  <c r="A5530"/>
  <c r="A5531"/>
  <c r="A5532"/>
  <c r="A5533"/>
  <c r="A5534"/>
  <c r="A5535"/>
  <c r="A5536"/>
  <c r="A5537"/>
  <c r="A5538"/>
  <c r="A5539"/>
  <c r="A5540"/>
  <c r="A5541"/>
  <c r="A5542"/>
  <c r="A5543"/>
  <c r="A5544"/>
  <c r="A5545"/>
  <c r="A5546"/>
  <c r="A5547"/>
  <c r="A5548"/>
  <c r="A5549"/>
  <c r="A5550"/>
  <c r="A5551"/>
  <c r="A5552"/>
  <c r="A5553"/>
  <c r="A5554"/>
  <c r="A5555"/>
  <c r="A5556"/>
  <c r="A5557"/>
  <c r="A5558"/>
  <c r="A5559"/>
  <c r="A5560"/>
  <c r="A5561"/>
  <c r="A5562"/>
  <c r="A5563"/>
  <c r="A5564"/>
  <c r="A5565"/>
  <c r="A5566"/>
  <c r="A5567"/>
  <c r="A5568"/>
  <c r="A5569"/>
  <c r="A5570"/>
  <c r="A5571"/>
  <c r="A5572"/>
  <c r="A5573"/>
  <c r="A5574"/>
  <c r="A5575"/>
  <c r="A5576"/>
  <c r="A5577"/>
  <c r="A5578"/>
  <c r="A5579"/>
  <c r="A5580"/>
  <c r="A5581"/>
  <c r="A5582"/>
  <c r="A5583"/>
  <c r="A5584"/>
  <c r="A5585"/>
  <c r="A5586"/>
  <c r="A5587"/>
  <c r="A5588"/>
  <c r="A5589"/>
  <c r="A5590"/>
  <c r="A5591"/>
  <c r="A5592"/>
  <c r="A5593"/>
  <c r="A5594"/>
  <c r="A5595"/>
  <c r="A5596"/>
  <c r="A5597"/>
  <c r="A5598"/>
  <c r="A5599"/>
  <c r="A5600"/>
  <c r="A5601"/>
  <c r="A5602"/>
  <c r="A5603"/>
  <c r="A5604"/>
  <c r="A5605"/>
  <c r="A5606"/>
  <c r="A5607"/>
  <c r="A5608"/>
  <c r="A5609"/>
  <c r="A5610"/>
  <c r="A5611"/>
  <c r="A5612"/>
  <c r="A5613"/>
  <c r="A5614"/>
  <c r="A5615"/>
  <c r="A5616"/>
  <c r="A5617"/>
  <c r="A5618"/>
  <c r="A5619"/>
  <c r="A5620"/>
  <c r="A5621"/>
  <c r="A5622"/>
  <c r="A5623"/>
  <c r="A5624"/>
  <c r="A5625"/>
  <c r="A5626"/>
  <c r="A5627"/>
  <c r="A5628"/>
  <c r="A5629"/>
  <c r="A5630"/>
  <c r="A5631"/>
  <c r="A5632"/>
  <c r="A5633"/>
  <c r="A5634"/>
  <c r="A5635"/>
  <c r="A5636"/>
  <c r="A5637"/>
  <c r="A5638"/>
  <c r="A5639"/>
  <c r="A5640"/>
  <c r="A5641"/>
  <c r="A5642"/>
  <c r="A5643"/>
  <c r="A5644"/>
  <c r="A5645"/>
  <c r="A5646"/>
  <c r="A5647"/>
  <c r="A5648"/>
  <c r="A5649"/>
  <c r="A5650"/>
  <c r="A5651"/>
  <c r="A5652"/>
  <c r="A5653"/>
  <c r="A5654"/>
  <c r="A5655"/>
  <c r="A5656"/>
  <c r="A5657"/>
  <c r="A5658"/>
  <c r="A5659"/>
  <c r="A5660"/>
  <c r="A5661"/>
  <c r="A5662"/>
  <c r="A5663"/>
  <c r="A5664"/>
  <c r="A5665"/>
  <c r="A5666"/>
  <c r="A5667"/>
  <c r="A5668"/>
  <c r="A5669"/>
  <c r="A5670"/>
  <c r="A5671"/>
  <c r="A5672"/>
  <c r="A5673"/>
  <c r="A5674"/>
  <c r="A5675"/>
  <c r="A5676"/>
  <c r="A5677"/>
  <c r="A5678"/>
  <c r="A5679"/>
  <c r="A5680"/>
  <c r="A5681"/>
  <c r="A5682"/>
  <c r="A5683"/>
  <c r="A5684"/>
  <c r="A5685"/>
  <c r="A5686"/>
  <c r="A5687"/>
  <c r="A5688"/>
  <c r="A5689"/>
  <c r="A5690"/>
  <c r="A5691"/>
  <c r="A5692"/>
  <c r="A5693"/>
  <c r="A5694"/>
  <c r="A5695"/>
  <c r="A5696"/>
  <c r="A5697"/>
  <c r="A5698"/>
  <c r="A5699"/>
  <c r="A5700"/>
  <c r="A5701"/>
  <c r="A5702"/>
  <c r="A5703"/>
  <c r="A5704"/>
  <c r="A5705"/>
  <c r="A5706"/>
  <c r="A5707"/>
  <c r="A5708"/>
  <c r="A5709"/>
  <c r="A5710"/>
  <c r="A5711"/>
  <c r="A5712"/>
  <c r="A5713"/>
  <c r="A5714"/>
  <c r="A5715"/>
  <c r="A5716"/>
  <c r="A5717"/>
  <c r="A5718"/>
  <c r="A5719"/>
  <c r="A5720"/>
  <c r="A5721"/>
  <c r="A5722"/>
  <c r="A5723"/>
  <c r="A5724"/>
  <c r="A5725"/>
  <c r="A5726"/>
  <c r="A5727"/>
  <c r="A5728"/>
  <c r="A5729"/>
  <c r="A5730"/>
  <c r="A5731"/>
  <c r="A5732"/>
  <c r="A5733"/>
  <c r="A5734"/>
  <c r="A5735"/>
  <c r="A5736"/>
  <c r="A5737"/>
  <c r="A5738"/>
  <c r="A5739"/>
  <c r="A5740"/>
  <c r="A5741"/>
  <c r="A5742"/>
  <c r="A5743"/>
  <c r="A5744"/>
  <c r="A5745"/>
  <c r="A5746"/>
  <c r="A5747"/>
  <c r="A5748"/>
  <c r="A5749"/>
  <c r="A5750"/>
  <c r="A5751"/>
  <c r="A5752"/>
  <c r="A5753"/>
  <c r="A5754"/>
  <c r="A5755"/>
  <c r="A5756"/>
  <c r="A5757"/>
  <c r="A5758"/>
  <c r="A5759"/>
  <c r="A5760"/>
  <c r="A5761"/>
  <c r="A5762"/>
  <c r="A5763"/>
  <c r="A5764"/>
  <c r="A5765"/>
  <c r="A5766"/>
  <c r="A5767"/>
  <c r="A5768"/>
  <c r="A5769"/>
  <c r="A5770"/>
  <c r="A5771"/>
  <c r="A5772"/>
  <c r="A5773"/>
  <c r="A5774"/>
  <c r="A5775"/>
  <c r="A5776"/>
  <c r="A5777"/>
  <c r="A5778"/>
  <c r="A5779"/>
  <c r="A5780"/>
  <c r="A5781"/>
  <c r="A5782"/>
  <c r="A5783"/>
  <c r="A5784"/>
  <c r="A5785"/>
  <c r="A5786"/>
  <c r="A5787"/>
  <c r="A5788"/>
  <c r="A5789"/>
  <c r="A5790"/>
  <c r="A5791"/>
  <c r="A5792"/>
  <c r="A5793"/>
  <c r="A5794"/>
  <c r="A5795"/>
  <c r="A5796"/>
  <c r="A5797"/>
  <c r="A5798"/>
  <c r="A5799"/>
  <c r="A5800"/>
  <c r="A5801"/>
  <c r="A5802"/>
  <c r="A5803"/>
  <c r="A5804"/>
  <c r="A5805"/>
  <c r="A5806"/>
  <c r="A5807"/>
  <c r="A5808"/>
  <c r="A5809"/>
  <c r="A5810"/>
  <c r="A5811"/>
  <c r="A5812"/>
  <c r="A5813"/>
  <c r="A5814"/>
  <c r="A5815"/>
  <c r="A5816"/>
  <c r="A5817"/>
  <c r="A5818"/>
  <c r="A5819"/>
  <c r="A5820"/>
  <c r="A5821"/>
  <c r="A5822"/>
  <c r="A5823"/>
  <c r="A5824"/>
  <c r="A5825"/>
  <c r="A5826"/>
  <c r="A5827"/>
  <c r="A5828"/>
  <c r="A5829"/>
  <c r="A5830"/>
  <c r="A5831"/>
  <c r="A5832"/>
  <c r="A5833"/>
  <c r="A5834"/>
  <c r="A5835"/>
  <c r="A5836"/>
  <c r="A5837"/>
  <c r="A5838"/>
  <c r="A5839"/>
  <c r="A5840"/>
  <c r="A5841"/>
  <c r="A5842"/>
  <c r="A5843"/>
  <c r="A5844"/>
  <c r="A5845"/>
  <c r="A5846"/>
  <c r="A5847"/>
  <c r="A5848"/>
  <c r="A5849"/>
  <c r="A5850"/>
  <c r="A5851"/>
  <c r="A5852"/>
  <c r="A5853"/>
  <c r="A5854"/>
  <c r="A5855"/>
  <c r="A5856"/>
  <c r="A5857"/>
  <c r="A5858"/>
  <c r="A5859"/>
  <c r="A5860"/>
  <c r="A5861"/>
  <c r="A5862"/>
  <c r="A5863"/>
  <c r="A5864"/>
  <c r="A5865"/>
  <c r="A5866"/>
  <c r="A5867"/>
  <c r="A5868"/>
  <c r="A5869"/>
  <c r="A5870"/>
  <c r="A5871"/>
  <c r="A5872"/>
  <c r="A5873"/>
  <c r="A5874"/>
  <c r="A5875"/>
  <c r="A5876"/>
  <c r="A5877"/>
  <c r="A5878"/>
  <c r="A5879"/>
  <c r="A5880"/>
  <c r="A5881"/>
  <c r="A5882"/>
  <c r="A5883"/>
  <c r="A5884"/>
  <c r="A5885"/>
  <c r="A5886"/>
  <c r="A5887"/>
  <c r="A5888"/>
  <c r="A5889"/>
  <c r="A5890"/>
  <c r="A5891"/>
  <c r="A5892"/>
  <c r="A5893"/>
  <c r="A5894"/>
  <c r="A5895"/>
  <c r="A5896"/>
  <c r="A5897"/>
  <c r="A5898"/>
  <c r="A5899"/>
  <c r="A5900"/>
  <c r="A5901"/>
  <c r="A5902"/>
  <c r="A5903"/>
  <c r="A5904"/>
  <c r="A5905"/>
  <c r="A5906"/>
  <c r="A5907"/>
  <c r="A5908"/>
  <c r="A5909"/>
  <c r="A5910"/>
  <c r="A5911"/>
  <c r="A5912"/>
  <c r="A5913"/>
  <c r="A5914"/>
  <c r="A5915"/>
  <c r="A5916"/>
  <c r="A5917"/>
  <c r="A5918"/>
  <c r="A5919"/>
  <c r="A5920"/>
  <c r="A5921"/>
  <c r="A5922"/>
  <c r="A5923"/>
  <c r="A5924"/>
  <c r="A5925"/>
  <c r="A5926"/>
  <c r="A5927"/>
  <c r="A5928"/>
  <c r="A5929"/>
  <c r="A5930"/>
  <c r="A5931"/>
  <c r="A5932"/>
  <c r="A5933"/>
  <c r="A5934"/>
  <c r="A5935"/>
  <c r="A5936"/>
  <c r="A5937"/>
  <c r="A5938"/>
  <c r="A5939"/>
  <c r="A5940"/>
  <c r="A5941"/>
  <c r="A5942"/>
  <c r="A5943"/>
  <c r="A5944"/>
  <c r="A5945"/>
  <c r="A5946"/>
  <c r="A5947"/>
  <c r="A5948"/>
  <c r="A5949"/>
  <c r="A5950"/>
  <c r="A5951"/>
  <c r="A5952"/>
  <c r="A5953"/>
  <c r="A5954"/>
  <c r="A5955"/>
  <c r="A5956"/>
  <c r="A5957"/>
  <c r="A5958"/>
  <c r="A5959"/>
  <c r="A5960"/>
  <c r="A5961"/>
  <c r="A5962"/>
  <c r="A5963"/>
  <c r="A5964"/>
  <c r="A5965"/>
  <c r="A5966"/>
  <c r="A5967"/>
  <c r="A5968"/>
  <c r="A5969"/>
  <c r="A5970"/>
  <c r="A5971"/>
  <c r="A5972"/>
  <c r="A5973"/>
  <c r="A5974"/>
  <c r="A5975"/>
  <c r="A5976"/>
  <c r="A5977"/>
  <c r="A5978"/>
  <c r="A5979"/>
  <c r="A5980"/>
  <c r="A5981"/>
  <c r="A5982"/>
  <c r="A5983"/>
  <c r="A5984"/>
  <c r="A5985"/>
  <c r="A5986"/>
  <c r="A5987"/>
  <c r="A5988"/>
  <c r="A5989"/>
  <c r="A5990"/>
  <c r="A5991"/>
  <c r="A5992"/>
  <c r="A5993"/>
  <c r="A5994"/>
  <c r="A5995"/>
  <c r="A5996"/>
  <c r="A5997"/>
  <c r="A5998"/>
  <c r="A5999"/>
  <c r="A6000"/>
  <c r="A6001"/>
  <c r="A6002"/>
  <c r="A6003"/>
  <c r="A6004"/>
  <c r="A6005"/>
  <c r="A6006"/>
  <c r="A6007"/>
  <c r="A6008"/>
  <c r="A6009"/>
  <c r="A6010"/>
  <c r="A6011"/>
  <c r="A6012"/>
  <c r="A6013"/>
  <c r="A6014"/>
  <c r="A6015"/>
  <c r="A6016"/>
  <c r="A6017"/>
  <c r="A6018"/>
  <c r="A6019"/>
  <c r="A6020"/>
  <c r="A6021"/>
  <c r="A6022"/>
  <c r="A6023"/>
  <c r="A6024"/>
  <c r="A6025"/>
  <c r="A6026"/>
  <c r="A6027"/>
  <c r="A6028"/>
  <c r="A6029"/>
  <c r="A6030"/>
  <c r="A6031"/>
  <c r="A6032"/>
  <c r="A6033"/>
  <c r="A6034"/>
  <c r="A6035"/>
  <c r="A6036"/>
  <c r="A6037"/>
  <c r="A6038"/>
  <c r="A6039"/>
  <c r="A6040"/>
  <c r="A6041"/>
  <c r="A6042"/>
  <c r="A6043"/>
  <c r="A6044"/>
  <c r="A6045"/>
  <c r="A6046"/>
  <c r="A6047"/>
  <c r="A6048"/>
  <c r="A6049"/>
  <c r="A6050"/>
  <c r="A6051"/>
  <c r="A6052"/>
  <c r="A6053"/>
  <c r="A6054"/>
  <c r="A6055"/>
  <c r="A6056"/>
  <c r="A6057"/>
  <c r="A6058"/>
  <c r="A6059"/>
  <c r="A6060"/>
  <c r="A6061"/>
  <c r="A6062"/>
  <c r="A6063"/>
  <c r="A6064"/>
  <c r="A6065"/>
  <c r="A6066"/>
  <c r="A6067"/>
  <c r="A6068"/>
  <c r="A6069"/>
  <c r="A6070"/>
  <c r="A6071"/>
  <c r="A6072"/>
  <c r="A6073"/>
  <c r="A6074"/>
  <c r="A6075"/>
  <c r="A6076"/>
  <c r="A6077"/>
  <c r="A6078"/>
  <c r="A6079"/>
  <c r="A6080"/>
  <c r="A6081"/>
  <c r="A6082"/>
  <c r="A6083"/>
  <c r="A6084"/>
  <c r="A6085"/>
  <c r="A6086"/>
  <c r="A6087"/>
  <c r="A6088"/>
  <c r="A6089"/>
  <c r="A6090"/>
  <c r="A6091"/>
  <c r="A6092"/>
  <c r="A6093"/>
  <c r="A6094"/>
  <c r="A6095"/>
  <c r="A6096"/>
  <c r="A6097"/>
  <c r="A6098"/>
  <c r="A6099"/>
  <c r="A6100"/>
  <c r="A6101"/>
  <c r="A6102"/>
  <c r="A6103"/>
  <c r="A6104"/>
  <c r="A6105"/>
  <c r="A6106"/>
  <c r="A6107"/>
  <c r="A6108"/>
  <c r="A6109"/>
  <c r="A6110"/>
  <c r="A6111"/>
  <c r="A6112"/>
  <c r="A6113"/>
  <c r="A6114"/>
  <c r="A6115"/>
  <c r="A6116"/>
  <c r="A6117"/>
  <c r="A6118"/>
  <c r="A6119"/>
  <c r="A6120"/>
  <c r="A6121"/>
  <c r="A6122"/>
  <c r="A6123"/>
  <c r="A6124"/>
  <c r="A6125"/>
  <c r="A6126"/>
  <c r="A6127"/>
  <c r="A6128"/>
  <c r="A6129"/>
  <c r="A6130"/>
  <c r="A6131"/>
  <c r="A6132"/>
  <c r="A6133"/>
  <c r="A6134"/>
  <c r="A6135"/>
  <c r="A6136"/>
  <c r="A6137"/>
  <c r="A6138"/>
  <c r="A6139"/>
  <c r="A6140"/>
  <c r="A6141"/>
  <c r="A6142"/>
  <c r="A6143"/>
  <c r="A6144"/>
  <c r="A6145"/>
  <c r="A6146"/>
  <c r="A6147"/>
  <c r="A6148"/>
  <c r="A6149"/>
  <c r="A6150"/>
  <c r="A6151"/>
  <c r="A6152"/>
  <c r="A6153"/>
  <c r="A6154"/>
  <c r="A6155"/>
  <c r="A6156"/>
  <c r="A6157"/>
  <c r="A6158"/>
  <c r="A6159"/>
  <c r="A6160"/>
  <c r="A6161"/>
  <c r="A6162"/>
  <c r="A6163"/>
  <c r="A6164"/>
  <c r="A6165"/>
  <c r="A6166"/>
  <c r="A6167"/>
  <c r="A6168"/>
  <c r="A6169"/>
  <c r="A6170"/>
  <c r="A6171"/>
  <c r="A6172"/>
  <c r="A6173"/>
  <c r="A6174"/>
  <c r="A6175"/>
  <c r="A6176"/>
  <c r="A6177"/>
  <c r="A6178"/>
  <c r="A6179"/>
  <c r="A6180"/>
  <c r="A6181"/>
  <c r="A6182"/>
  <c r="A6183"/>
  <c r="A6184"/>
  <c r="A6185"/>
  <c r="A6186"/>
  <c r="A6187"/>
  <c r="A6188"/>
  <c r="A6189"/>
  <c r="A6190"/>
  <c r="A6191"/>
  <c r="A6192"/>
  <c r="A6193"/>
  <c r="A6194"/>
  <c r="A6195"/>
  <c r="A6196"/>
  <c r="A6197"/>
  <c r="A6198"/>
  <c r="A6199"/>
  <c r="A6200"/>
  <c r="A6201"/>
  <c r="A6202"/>
  <c r="A6203"/>
  <c r="A6204"/>
  <c r="A6205"/>
  <c r="A6206"/>
  <c r="A6207"/>
  <c r="A6208"/>
  <c r="A6209"/>
  <c r="A6210"/>
  <c r="A6211"/>
  <c r="A6212"/>
  <c r="A6213"/>
  <c r="A6214"/>
  <c r="A6215"/>
  <c r="A6216"/>
  <c r="A6217"/>
  <c r="A6218"/>
  <c r="A6219"/>
  <c r="A6220"/>
  <c r="A6221"/>
  <c r="A6222"/>
  <c r="A6223"/>
  <c r="A6224"/>
  <c r="A6225"/>
  <c r="A6226"/>
  <c r="A6227"/>
  <c r="A6228"/>
  <c r="A6229"/>
  <c r="A6230"/>
  <c r="A6231"/>
  <c r="A6232"/>
  <c r="A6233"/>
  <c r="A6234"/>
  <c r="A6235"/>
  <c r="A6236"/>
  <c r="A6237"/>
  <c r="A6238"/>
  <c r="A6239"/>
  <c r="A6240"/>
  <c r="A6241"/>
  <c r="A6242"/>
  <c r="A6243"/>
  <c r="A6244"/>
  <c r="A6245"/>
  <c r="A6246"/>
  <c r="A6247"/>
  <c r="A6248"/>
  <c r="A6249"/>
  <c r="A6250"/>
  <c r="A6251"/>
  <c r="A6252"/>
  <c r="A6253"/>
  <c r="A6254"/>
  <c r="A6255"/>
  <c r="A6256"/>
  <c r="A6257"/>
  <c r="A6258"/>
  <c r="A6259"/>
  <c r="A6260"/>
  <c r="A6261"/>
  <c r="A6262"/>
  <c r="A6263"/>
  <c r="A6264"/>
  <c r="A6265"/>
  <c r="A6266"/>
  <c r="A6267"/>
  <c r="A6268"/>
  <c r="A6269"/>
  <c r="A6270"/>
  <c r="A6271"/>
  <c r="A6272"/>
  <c r="A6273"/>
  <c r="A6274"/>
  <c r="A6275"/>
  <c r="A6276"/>
  <c r="A6277"/>
  <c r="A6278"/>
  <c r="A6279"/>
  <c r="A6280"/>
  <c r="A6281"/>
  <c r="A6282"/>
  <c r="A6283"/>
  <c r="A6284"/>
  <c r="A6285"/>
  <c r="A6286"/>
  <c r="A6287"/>
  <c r="A6288"/>
  <c r="A6289"/>
  <c r="A6290"/>
  <c r="A6291"/>
  <c r="A6292"/>
  <c r="A6293"/>
  <c r="A6294"/>
  <c r="A6295"/>
  <c r="A6296"/>
  <c r="A6297"/>
  <c r="A6298"/>
  <c r="A6299"/>
  <c r="A6300"/>
  <c r="A6301"/>
  <c r="A6302"/>
  <c r="A6303"/>
  <c r="A6304"/>
  <c r="A6305"/>
  <c r="A6306"/>
  <c r="A6307"/>
  <c r="A6308"/>
  <c r="A6309"/>
  <c r="A6310"/>
  <c r="A6311"/>
  <c r="A6312"/>
  <c r="A6313"/>
  <c r="A6314"/>
  <c r="A6315"/>
  <c r="A6316"/>
  <c r="A6317"/>
  <c r="A6318"/>
  <c r="A6319"/>
  <c r="A6320"/>
  <c r="A6321"/>
  <c r="A6322"/>
  <c r="A6323"/>
  <c r="A6324"/>
  <c r="A6325"/>
  <c r="A6326"/>
  <c r="A6327"/>
  <c r="A6328"/>
  <c r="A6329"/>
  <c r="A6330"/>
  <c r="A6331"/>
  <c r="A6332"/>
  <c r="A6333"/>
  <c r="A6334"/>
  <c r="A6335"/>
  <c r="A6336"/>
  <c r="A6337"/>
  <c r="A6338"/>
  <c r="A6339"/>
  <c r="A6340"/>
  <c r="A6341"/>
  <c r="A6342"/>
  <c r="A6343"/>
  <c r="A6344"/>
  <c r="A6345"/>
  <c r="A6346"/>
  <c r="A6347"/>
  <c r="A6348"/>
  <c r="A6349"/>
  <c r="A6350"/>
  <c r="A6351"/>
  <c r="A6352"/>
  <c r="A6353"/>
  <c r="A6354"/>
  <c r="A6355"/>
  <c r="A6356"/>
  <c r="A6357"/>
  <c r="A6358"/>
  <c r="A6359"/>
  <c r="A6360"/>
  <c r="A6361"/>
  <c r="A6362"/>
  <c r="A6363"/>
  <c r="A6364"/>
  <c r="A6365"/>
  <c r="A6366"/>
  <c r="A6367"/>
  <c r="A6368"/>
  <c r="A6369"/>
  <c r="A6370"/>
  <c r="A6371"/>
  <c r="A6372"/>
  <c r="A6373"/>
  <c r="A6374"/>
  <c r="A6375"/>
  <c r="A6376"/>
  <c r="A6377"/>
  <c r="A6378"/>
  <c r="A6379"/>
  <c r="A6380"/>
  <c r="A6381"/>
  <c r="A6382"/>
  <c r="A6383"/>
  <c r="A6384"/>
  <c r="A6385"/>
  <c r="A6386"/>
  <c r="A6387"/>
  <c r="A6388"/>
  <c r="A6389"/>
  <c r="A6390"/>
  <c r="A6391"/>
  <c r="A6392"/>
  <c r="A6393"/>
  <c r="A6394"/>
  <c r="A6395"/>
  <c r="A6396"/>
  <c r="A6397"/>
  <c r="A6398"/>
  <c r="A6399"/>
  <c r="A6400"/>
  <c r="A6401"/>
  <c r="A6402"/>
  <c r="A6403"/>
  <c r="A6404"/>
  <c r="A6405"/>
  <c r="A6406"/>
  <c r="A6407"/>
  <c r="A6408"/>
  <c r="A6409"/>
  <c r="A6410"/>
  <c r="A6411"/>
  <c r="A6412"/>
  <c r="A6413"/>
  <c r="A6414"/>
  <c r="A6415"/>
  <c r="A6416"/>
  <c r="A6417"/>
  <c r="A6418"/>
  <c r="A6419"/>
  <c r="A6420"/>
  <c r="A6421"/>
  <c r="A6422"/>
  <c r="A6423"/>
  <c r="A6424"/>
  <c r="A6425"/>
  <c r="A6426"/>
  <c r="A6427"/>
  <c r="A6428"/>
  <c r="A6429"/>
  <c r="A6430"/>
  <c r="A6431"/>
  <c r="A6432"/>
  <c r="A6433"/>
  <c r="A6434"/>
  <c r="A6435"/>
  <c r="A6436"/>
  <c r="A6437"/>
  <c r="A6438"/>
  <c r="A6439"/>
  <c r="A6440"/>
  <c r="A6441"/>
  <c r="A6442"/>
  <c r="A6443"/>
  <c r="A6444"/>
  <c r="A6445"/>
  <c r="A6446"/>
  <c r="A6447"/>
  <c r="A6448"/>
  <c r="A6449"/>
  <c r="A6450"/>
  <c r="A6451"/>
  <c r="A6452"/>
  <c r="A6453"/>
  <c r="A6454"/>
  <c r="A6455"/>
  <c r="A6456"/>
  <c r="A6457"/>
  <c r="A6458"/>
  <c r="A6459"/>
  <c r="A6460"/>
  <c r="A6461"/>
  <c r="A6462"/>
  <c r="A6463"/>
  <c r="A6464"/>
  <c r="A6465"/>
  <c r="A6466"/>
  <c r="A6467"/>
  <c r="A6468"/>
  <c r="A6469"/>
  <c r="A6470"/>
  <c r="A6471"/>
  <c r="A6472"/>
  <c r="A6473"/>
  <c r="A6474"/>
  <c r="A6475"/>
  <c r="A6476"/>
  <c r="A6477"/>
  <c r="A6478"/>
  <c r="A6479"/>
  <c r="A6480"/>
  <c r="A6481"/>
  <c r="A6482"/>
  <c r="A6483"/>
  <c r="A6484"/>
  <c r="A6485"/>
  <c r="A6486"/>
  <c r="A6487"/>
  <c r="A6488"/>
  <c r="A6489"/>
  <c r="A6490"/>
  <c r="A6491"/>
  <c r="A6492"/>
  <c r="A6493"/>
  <c r="A6494"/>
  <c r="A6495"/>
  <c r="A6496"/>
  <c r="A6497"/>
  <c r="A6498"/>
  <c r="A6499"/>
  <c r="A6500"/>
  <c r="A6501"/>
  <c r="A6502"/>
  <c r="A6503"/>
  <c r="A6504"/>
  <c r="A6505"/>
  <c r="A6506"/>
  <c r="A6507"/>
  <c r="A6508"/>
  <c r="A6509"/>
  <c r="A6510"/>
  <c r="A6511"/>
  <c r="A6512"/>
  <c r="A6513"/>
  <c r="A6514"/>
  <c r="A6515"/>
  <c r="A6516"/>
  <c r="A6517"/>
  <c r="A6518"/>
  <c r="A6519"/>
  <c r="A6520"/>
  <c r="A6521"/>
  <c r="A6522"/>
  <c r="A6523"/>
  <c r="A6524"/>
  <c r="A6525"/>
  <c r="A6526"/>
  <c r="A6527"/>
  <c r="A6528"/>
  <c r="A6529"/>
  <c r="A6530"/>
  <c r="A6531"/>
  <c r="A6532"/>
  <c r="A6533"/>
  <c r="A6534"/>
  <c r="A6535"/>
  <c r="A6536"/>
  <c r="A6537"/>
  <c r="A6538"/>
  <c r="A6539"/>
  <c r="A6540"/>
  <c r="A6541"/>
  <c r="A6542"/>
  <c r="A6543"/>
  <c r="A6544"/>
  <c r="A6545"/>
  <c r="A6546"/>
  <c r="A6547"/>
  <c r="A6548"/>
  <c r="A6549"/>
  <c r="A6550"/>
  <c r="A6551"/>
  <c r="A6552"/>
  <c r="A6553"/>
  <c r="A6554"/>
  <c r="A6555"/>
  <c r="A6556"/>
  <c r="A6557"/>
  <c r="A6558"/>
  <c r="A6559"/>
  <c r="A6560"/>
  <c r="A6561"/>
  <c r="A6562"/>
  <c r="A6563"/>
  <c r="A6564"/>
  <c r="A6565"/>
  <c r="A6566"/>
  <c r="A6567"/>
  <c r="A6568"/>
  <c r="A6569"/>
  <c r="A6570"/>
  <c r="A6571"/>
  <c r="A6572"/>
  <c r="A6573"/>
  <c r="A6574"/>
  <c r="A6575"/>
  <c r="A6576"/>
  <c r="A6577"/>
  <c r="A6578"/>
  <c r="A6579"/>
  <c r="A6580"/>
  <c r="A6581"/>
  <c r="A6582"/>
  <c r="A6583"/>
  <c r="A6584"/>
  <c r="A6585"/>
  <c r="A6586"/>
  <c r="A6587"/>
  <c r="A6588"/>
  <c r="A6589"/>
  <c r="A6590"/>
  <c r="A6591"/>
  <c r="A6592"/>
  <c r="A6593"/>
  <c r="A6594"/>
  <c r="A6595"/>
  <c r="A6596"/>
  <c r="A6597"/>
  <c r="A6598"/>
  <c r="A6599"/>
  <c r="A6600"/>
  <c r="A6601"/>
  <c r="A6602"/>
  <c r="A6603"/>
  <c r="A6604"/>
  <c r="A6605"/>
  <c r="A6606"/>
  <c r="A6607"/>
  <c r="A6608"/>
  <c r="A6609"/>
  <c r="A6610"/>
  <c r="A6611"/>
  <c r="A6612"/>
  <c r="A6613"/>
  <c r="A6614"/>
  <c r="A6615"/>
  <c r="A6616"/>
  <c r="A6617"/>
  <c r="A6618"/>
  <c r="A6619"/>
  <c r="A6620"/>
  <c r="A6621"/>
  <c r="A6622"/>
  <c r="A6623"/>
  <c r="A6624"/>
  <c r="A6625"/>
  <c r="A6626"/>
  <c r="A6627"/>
  <c r="A6628"/>
  <c r="A6629"/>
  <c r="A6630"/>
  <c r="A6631"/>
  <c r="A6632"/>
  <c r="A6633"/>
  <c r="A6634"/>
  <c r="A6635"/>
  <c r="A6636"/>
  <c r="A6637"/>
  <c r="A6638"/>
  <c r="A6639"/>
  <c r="A6640"/>
  <c r="A6641"/>
  <c r="A6642"/>
  <c r="A6643"/>
  <c r="A6644"/>
  <c r="A6645"/>
  <c r="A6646"/>
  <c r="A6647"/>
  <c r="A6648"/>
  <c r="A6649"/>
  <c r="A6650"/>
  <c r="A6651"/>
  <c r="A6652"/>
  <c r="A6653"/>
  <c r="A6654"/>
  <c r="A6655"/>
  <c r="A6656"/>
  <c r="A6657"/>
  <c r="A6658"/>
  <c r="A6659"/>
  <c r="A6660"/>
  <c r="A6661"/>
  <c r="A6662"/>
  <c r="A6663"/>
  <c r="A6664"/>
  <c r="A6665"/>
  <c r="A6666"/>
  <c r="A6667"/>
  <c r="A6668"/>
  <c r="A6669"/>
  <c r="A6670"/>
  <c r="A6671"/>
  <c r="A6672"/>
  <c r="A6673"/>
  <c r="A6674"/>
  <c r="A6675"/>
  <c r="A6676"/>
  <c r="A6677"/>
  <c r="A6678"/>
  <c r="A6679"/>
  <c r="A6680"/>
  <c r="A6681"/>
  <c r="A6682"/>
  <c r="A6683"/>
  <c r="A6684"/>
  <c r="A6685"/>
  <c r="A6686"/>
  <c r="A6687"/>
  <c r="A6688"/>
  <c r="A6689"/>
  <c r="A6690"/>
  <c r="A6691"/>
  <c r="A6692"/>
  <c r="A6693"/>
  <c r="A6694"/>
  <c r="A6695"/>
  <c r="A6696"/>
  <c r="A6697"/>
  <c r="A6698"/>
  <c r="A6699"/>
  <c r="A6700"/>
  <c r="A6701"/>
  <c r="A6702"/>
  <c r="A6703"/>
  <c r="A6704"/>
  <c r="A6705"/>
  <c r="A6706"/>
  <c r="A6707"/>
  <c r="A6708"/>
  <c r="A6709"/>
  <c r="A6710"/>
  <c r="A6711"/>
  <c r="A6712"/>
  <c r="A6713"/>
  <c r="A6714"/>
  <c r="A6715"/>
  <c r="A6716"/>
  <c r="A6717"/>
  <c r="A6718"/>
  <c r="A6719"/>
  <c r="A6720"/>
  <c r="A6721"/>
  <c r="A6722"/>
  <c r="A6723"/>
  <c r="A6724"/>
  <c r="A6725"/>
  <c r="A6726"/>
  <c r="A6727"/>
  <c r="A6728"/>
  <c r="A6729"/>
  <c r="A6730"/>
  <c r="A6731"/>
  <c r="A6732"/>
  <c r="A6733"/>
  <c r="A6734"/>
  <c r="A6735"/>
  <c r="A6736"/>
  <c r="A6737"/>
  <c r="A6738"/>
  <c r="A6739"/>
  <c r="A6740"/>
  <c r="A6741"/>
  <c r="A6742"/>
  <c r="A6743"/>
  <c r="A6744"/>
  <c r="A6745"/>
  <c r="A6746"/>
  <c r="A6747"/>
  <c r="A6748"/>
  <c r="A6749"/>
  <c r="A6750"/>
  <c r="A6751"/>
  <c r="A6752"/>
  <c r="A6753"/>
  <c r="A6754"/>
  <c r="A6755"/>
  <c r="A6756"/>
  <c r="A6757"/>
  <c r="A6758"/>
  <c r="A6759"/>
  <c r="A6760"/>
  <c r="A6761"/>
  <c r="A6762"/>
  <c r="A6763"/>
  <c r="A6764"/>
  <c r="A6765"/>
  <c r="A6766"/>
  <c r="A6767"/>
  <c r="A6768"/>
  <c r="A6769"/>
  <c r="A6770"/>
  <c r="A6771"/>
  <c r="A6772"/>
  <c r="A6773"/>
  <c r="A6774"/>
  <c r="A6775"/>
  <c r="A6776"/>
  <c r="A6777"/>
  <c r="A6778"/>
  <c r="A6779"/>
  <c r="A6780"/>
  <c r="A6781"/>
  <c r="A6782"/>
  <c r="A6783"/>
  <c r="A6784"/>
  <c r="A6785"/>
  <c r="A6786"/>
  <c r="A6787"/>
  <c r="A6788"/>
  <c r="A6789"/>
  <c r="A6790"/>
  <c r="A6791"/>
  <c r="A6792"/>
  <c r="A6793"/>
  <c r="A6794"/>
  <c r="A6795"/>
  <c r="A6796"/>
  <c r="A6797"/>
  <c r="A6798"/>
  <c r="A6799"/>
  <c r="A6800"/>
  <c r="A6801"/>
  <c r="A6802"/>
  <c r="A6803"/>
  <c r="A6804"/>
  <c r="A6805"/>
  <c r="A6806"/>
  <c r="A6807"/>
  <c r="A6808"/>
  <c r="A6809"/>
  <c r="A6810"/>
  <c r="A6811"/>
  <c r="A6812"/>
  <c r="A6813"/>
  <c r="A6814"/>
  <c r="A6815"/>
  <c r="A6816"/>
  <c r="A6817"/>
  <c r="A6818"/>
  <c r="A6819"/>
  <c r="A6820"/>
  <c r="A6821"/>
  <c r="A6822"/>
  <c r="A6823"/>
  <c r="A6824"/>
  <c r="A6825"/>
  <c r="A6826"/>
  <c r="A6827"/>
  <c r="A6828"/>
  <c r="A6829"/>
  <c r="A6830"/>
  <c r="A6831"/>
  <c r="A6832"/>
  <c r="A6833"/>
  <c r="A6834"/>
  <c r="A6835"/>
  <c r="A6836"/>
  <c r="A6837"/>
  <c r="A6838"/>
  <c r="A6839"/>
  <c r="A6840"/>
  <c r="A6841"/>
  <c r="A6842"/>
  <c r="A6843"/>
  <c r="A6844"/>
  <c r="A6845"/>
  <c r="A6846"/>
  <c r="A6847"/>
  <c r="A6848"/>
  <c r="A6849"/>
  <c r="A6850"/>
  <c r="A6851"/>
  <c r="A6852"/>
  <c r="A6853"/>
  <c r="A6854"/>
  <c r="A6855"/>
  <c r="A6856"/>
  <c r="A6857"/>
  <c r="A6858"/>
  <c r="A6859"/>
  <c r="A6860"/>
  <c r="A6861"/>
  <c r="A6862"/>
  <c r="A6863"/>
  <c r="A6864"/>
  <c r="A6865"/>
  <c r="A6866"/>
  <c r="A6867"/>
  <c r="A6868"/>
  <c r="A6869"/>
  <c r="A6870"/>
  <c r="A6871"/>
  <c r="A6872"/>
  <c r="A6873"/>
  <c r="A6874"/>
  <c r="A6875"/>
  <c r="A6876"/>
  <c r="A6877"/>
  <c r="A6878"/>
  <c r="A6879"/>
  <c r="A6880"/>
  <c r="A6881"/>
  <c r="A6882"/>
  <c r="A6883"/>
  <c r="A6884"/>
  <c r="A6885"/>
  <c r="A6886"/>
  <c r="A6887"/>
  <c r="A6888"/>
  <c r="A6889"/>
  <c r="A6890"/>
  <c r="A6891"/>
  <c r="A6892"/>
  <c r="A6893"/>
  <c r="A6894"/>
  <c r="A6895"/>
  <c r="A6896"/>
  <c r="A6897"/>
  <c r="A6898"/>
  <c r="A6899"/>
  <c r="A6900"/>
  <c r="A6901"/>
  <c r="A6902"/>
  <c r="A6903"/>
  <c r="A6904"/>
  <c r="A6905"/>
  <c r="A6906"/>
  <c r="A6907"/>
  <c r="A6908"/>
  <c r="A6909"/>
  <c r="A6910"/>
  <c r="A6911"/>
  <c r="A6912"/>
  <c r="A6913"/>
  <c r="A6914"/>
  <c r="A6915"/>
  <c r="A6916"/>
  <c r="A6917"/>
  <c r="A6918"/>
  <c r="A6919"/>
  <c r="A6920"/>
  <c r="A6921"/>
  <c r="A6922"/>
  <c r="A6923"/>
  <c r="A6924"/>
  <c r="A6925"/>
  <c r="A6926"/>
  <c r="A6927"/>
  <c r="A6928"/>
  <c r="A6929"/>
  <c r="A6930"/>
  <c r="A6931"/>
  <c r="A6932"/>
  <c r="A6933"/>
  <c r="A6934"/>
  <c r="A6935"/>
  <c r="A6936"/>
  <c r="A6937"/>
  <c r="A6938"/>
  <c r="A6939"/>
  <c r="A6940"/>
  <c r="A6941"/>
  <c r="A6942"/>
  <c r="A6943"/>
  <c r="A6944"/>
  <c r="A6945"/>
  <c r="A6946"/>
  <c r="A6947"/>
  <c r="A6948"/>
  <c r="A6949"/>
  <c r="A6950"/>
  <c r="A6951"/>
  <c r="A6952"/>
  <c r="A6953"/>
  <c r="A6954"/>
  <c r="A6955"/>
  <c r="A6956"/>
  <c r="A6957"/>
  <c r="A6958"/>
  <c r="A6959"/>
  <c r="A6960"/>
  <c r="A6961"/>
  <c r="A6962"/>
  <c r="A6963"/>
  <c r="A6964"/>
  <c r="A6965"/>
  <c r="A6966"/>
  <c r="A6967"/>
  <c r="A6968"/>
  <c r="A6969"/>
  <c r="A6970"/>
  <c r="A6971"/>
  <c r="A6972"/>
  <c r="A6973"/>
  <c r="A6974"/>
  <c r="A6975"/>
  <c r="A6976"/>
  <c r="A6977"/>
  <c r="A6978"/>
  <c r="A6979"/>
  <c r="A6980"/>
  <c r="A6981"/>
  <c r="A6982"/>
  <c r="A6983"/>
  <c r="A6984"/>
  <c r="A6985"/>
  <c r="A6986"/>
  <c r="A6987"/>
  <c r="A6988"/>
  <c r="A6989"/>
  <c r="A6990"/>
  <c r="A6991"/>
  <c r="A6992"/>
  <c r="A6993"/>
  <c r="A6994"/>
  <c r="A6995"/>
  <c r="A6996"/>
  <c r="A6997"/>
  <c r="A6998"/>
  <c r="A6999"/>
  <c r="A7000"/>
  <c r="A7001"/>
  <c r="A7002"/>
  <c r="A7003"/>
  <c r="A7004"/>
  <c r="A7005"/>
  <c r="A7006"/>
  <c r="A7007"/>
  <c r="A7008"/>
  <c r="A7009"/>
  <c r="A7010"/>
  <c r="A7011"/>
  <c r="A7012"/>
  <c r="A7013"/>
  <c r="A7014"/>
  <c r="A7015"/>
  <c r="A7016"/>
  <c r="A7017"/>
  <c r="A7018"/>
  <c r="A7019"/>
  <c r="A7020"/>
  <c r="A7021"/>
  <c r="A7022"/>
  <c r="A7023"/>
  <c r="A7024"/>
  <c r="A7025"/>
  <c r="A7026"/>
  <c r="A7027"/>
  <c r="A7028"/>
  <c r="A7029"/>
  <c r="A7030"/>
  <c r="A7031"/>
  <c r="A7032"/>
  <c r="A7033"/>
  <c r="A7034"/>
  <c r="A7035"/>
  <c r="A7036"/>
  <c r="A7037"/>
  <c r="A7038"/>
  <c r="A7039"/>
  <c r="A7040"/>
  <c r="A7041"/>
  <c r="A7042"/>
  <c r="A7043"/>
  <c r="A7044"/>
  <c r="A7045"/>
  <c r="A7046"/>
  <c r="A7047"/>
  <c r="A7048"/>
  <c r="A7049"/>
  <c r="A7050"/>
  <c r="A7051"/>
  <c r="A7052"/>
  <c r="A7053"/>
  <c r="A7054"/>
  <c r="A7055"/>
  <c r="A7056"/>
  <c r="A7057"/>
  <c r="A7058"/>
  <c r="A7059"/>
  <c r="A7060"/>
  <c r="A7061"/>
  <c r="A7062"/>
  <c r="A7063"/>
  <c r="A7064"/>
  <c r="A7065"/>
  <c r="A7066"/>
  <c r="A7067"/>
  <c r="A7068"/>
  <c r="A7069"/>
  <c r="A7070"/>
  <c r="A7071"/>
  <c r="A7072"/>
  <c r="A7073"/>
  <c r="A7074"/>
  <c r="A7075"/>
  <c r="A7076"/>
  <c r="A7077"/>
  <c r="A7078"/>
  <c r="A7079"/>
  <c r="A7080"/>
  <c r="A7081"/>
  <c r="A7082"/>
  <c r="A7083"/>
  <c r="A7084"/>
  <c r="A7085"/>
  <c r="A7086"/>
  <c r="A7087"/>
  <c r="A7088"/>
  <c r="A7089"/>
  <c r="A7090"/>
  <c r="A7091"/>
  <c r="A7092"/>
  <c r="A7093"/>
  <c r="A7094"/>
  <c r="A7095"/>
  <c r="A7096"/>
  <c r="A7097"/>
  <c r="A7098"/>
  <c r="A7099"/>
  <c r="A7100"/>
  <c r="A7101"/>
  <c r="A7102"/>
  <c r="A7103"/>
  <c r="A7104"/>
  <c r="A7105"/>
  <c r="A7106"/>
  <c r="A7107"/>
  <c r="A7108"/>
  <c r="A7109"/>
  <c r="A7110"/>
  <c r="A7111"/>
  <c r="A7112"/>
  <c r="A7113"/>
  <c r="A7114"/>
  <c r="A7115"/>
  <c r="A7116"/>
  <c r="A7117"/>
  <c r="A7118"/>
  <c r="A7119"/>
  <c r="A7120"/>
  <c r="A7121"/>
  <c r="A7122"/>
  <c r="A7123"/>
  <c r="A7124"/>
  <c r="A7125"/>
  <c r="A7126"/>
  <c r="A7127"/>
  <c r="A7128"/>
  <c r="A7129"/>
  <c r="A7130"/>
  <c r="A7131"/>
  <c r="A7132"/>
  <c r="A7133"/>
  <c r="A7134"/>
  <c r="A7135"/>
  <c r="A7136"/>
  <c r="A7137"/>
  <c r="A7138"/>
  <c r="A7139"/>
  <c r="A7140"/>
  <c r="A7141"/>
  <c r="A7142"/>
  <c r="A7143"/>
  <c r="A7144"/>
  <c r="A7145"/>
  <c r="A7146"/>
  <c r="A7147"/>
  <c r="A7148"/>
  <c r="A7149"/>
  <c r="A7150"/>
  <c r="A7151"/>
  <c r="A7152"/>
  <c r="A7153"/>
  <c r="A7154"/>
  <c r="A7155"/>
  <c r="A7156"/>
  <c r="A7157"/>
  <c r="A7158"/>
  <c r="A7159"/>
  <c r="A7160"/>
  <c r="A7161"/>
  <c r="A7162"/>
  <c r="A7163"/>
  <c r="A7164"/>
  <c r="A7165"/>
  <c r="A7166"/>
  <c r="A7167"/>
  <c r="A7168"/>
  <c r="A7169"/>
  <c r="A7170"/>
  <c r="A7171"/>
  <c r="A7172"/>
  <c r="A7173"/>
  <c r="A7174"/>
  <c r="A7175"/>
  <c r="A7176"/>
  <c r="A7177"/>
  <c r="A7178"/>
  <c r="A7179"/>
  <c r="A7180"/>
  <c r="A7181"/>
  <c r="A7182"/>
  <c r="A7183"/>
  <c r="A7184"/>
  <c r="A7185"/>
  <c r="A7186"/>
  <c r="A7187"/>
  <c r="A7188"/>
  <c r="A7189"/>
  <c r="A7190"/>
  <c r="A7191"/>
  <c r="A7192"/>
  <c r="A7193"/>
  <c r="A7194"/>
  <c r="A7195"/>
  <c r="A7196"/>
  <c r="A7197"/>
  <c r="A7198"/>
  <c r="A7199"/>
  <c r="A7200"/>
  <c r="A7201"/>
  <c r="A7202"/>
  <c r="A7203"/>
  <c r="A7204"/>
  <c r="A7205"/>
  <c r="A7206"/>
  <c r="A7207"/>
  <c r="A7208"/>
  <c r="A7209"/>
  <c r="A7210"/>
  <c r="A7211"/>
  <c r="A7212"/>
  <c r="A7213"/>
  <c r="A7214"/>
  <c r="A7215"/>
  <c r="A7216"/>
  <c r="A7217"/>
  <c r="A7218"/>
  <c r="A7219"/>
  <c r="A7220"/>
  <c r="A7221"/>
  <c r="A7222"/>
  <c r="A7223"/>
  <c r="A7224"/>
  <c r="A7225"/>
  <c r="A7226"/>
  <c r="A7227"/>
  <c r="A7228"/>
  <c r="A7229"/>
  <c r="A7230"/>
  <c r="A7231"/>
  <c r="A7232"/>
  <c r="A7233"/>
  <c r="A7234"/>
  <c r="A7235"/>
  <c r="A7236"/>
  <c r="A7237"/>
  <c r="A7238"/>
  <c r="A7239"/>
  <c r="A7240"/>
  <c r="A7241"/>
  <c r="A7242"/>
  <c r="A7243"/>
  <c r="A7244"/>
  <c r="A7245"/>
  <c r="A7246"/>
  <c r="A7247"/>
  <c r="A7248"/>
  <c r="A7249"/>
  <c r="A7250"/>
  <c r="A7251"/>
  <c r="A7252"/>
  <c r="A7253"/>
  <c r="A7254"/>
  <c r="A7255"/>
  <c r="A7256"/>
  <c r="A7257"/>
  <c r="A7258"/>
  <c r="A7259"/>
  <c r="A7260"/>
  <c r="A7261"/>
  <c r="A7262"/>
  <c r="A7263"/>
  <c r="A7264"/>
  <c r="A7265"/>
  <c r="A7266"/>
  <c r="A7267"/>
  <c r="A7268"/>
  <c r="A7269"/>
  <c r="A7270"/>
  <c r="A7271"/>
  <c r="A7272"/>
  <c r="A7273"/>
  <c r="A7274"/>
  <c r="A7275"/>
  <c r="A7276"/>
  <c r="A7277"/>
  <c r="A7278"/>
  <c r="A7279"/>
  <c r="A7280"/>
  <c r="A7281"/>
  <c r="A7282"/>
  <c r="A7283"/>
  <c r="A7284"/>
  <c r="A7285"/>
  <c r="A7286"/>
  <c r="A7287"/>
  <c r="A7288"/>
  <c r="A7289"/>
  <c r="A7290"/>
  <c r="A7291"/>
  <c r="A7292"/>
  <c r="A7293"/>
  <c r="A7294"/>
  <c r="A7295"/>
  <c r="A7296"/>
  <c r="A7297"/>
  <c r="A7298"/>
  <c r="A7299"/>
  <c r="A7300"/>
  <c r="A7301"/>
  <c r="A7302"/>
  <c r="A7303"/>
  <c r="A7304"/>
  <c r="A7305"/>
  <c r="A7306"/>
  <c r="A7307"/>
  <c r="A7308"/>
  <c r="A7309"/>
  <c r="A7310"/>
  <c r="A7311"/>
  <c r="A7312"/>
  <c r="A7313"/>
  <c r="A7314"/>
  <c r="A7315"/>
  <c r="A7316"/>
  <c r="A7317"/>
  <c r="A7318"/>
  <c r="A7319"/>
  <c r="A7320"/>
  <c r="A7321"/>
  <c r="A7322"/>
  <c r="A7323"/>
  <c r="A7324"/>
  <c r="A7325"/>
  <c r="A7326"/>
  <c r="A7327"/>
  <c r="A7328"/>
  <c r="A7329"/>
  <c r="A7330"/>
  <c r="A7331"/>
  <c r="A7332"/>
  <c r="A7333"/>
  <c r="A7334"/>
  <c r="A7335"/>
  <c r="A7336"/>
  <c r="A7337"/>
  <c r="A7338"/>
  <c r="A7339"/>
  <c r="A7340"/>
  <c r="A7341"/>
  <c r="A7342"/>
  <c r="A7343"/>
  <c r="A7344"/>
  <c r="A7345"/>
  <c r="A7346"/>
  <c r="A7347"/>
  <c r="A7348"/>
  <c r="A7349"/>
  <c r="A7350"/>
  <c r="A7351"/>
  <c r="A7352"/>
  <c r="A7353"/>
  <c r="A7354"/>
  <c r="A7355"/>
  <c r="A7356"/>
  <c r="A7357"/>
  <c r="A7358"/>
  <c r="A7359"/>
  <c r="A7360"/>
  <c r="A7361"/>
  <c r="A7362"/>
  <c r="A7363"/>
  <c r="A7364"/>
  <c r="A7365"/>
  <c r="A7366"/>
  <c r="A7367"/>
  <c r="A7368"/>
  <c r="A7369"/>
  <c r="A7370"/>
  <c r="A7371"/>
  <c r="A7372"/>
  <c r="A7373"/>
  <c r="A7374"/>
  <c r="A7375"/>
  <c r="A7376"/>
  <c r="A7377"/>
  <c r="A7378"/>
  <c r="A7379"/>
  <c r="A7380"/>
  <c r="A7381"/>
  <c r="A7382"/>
  <c r="A7383"/>
  <c r="A7384"/>
  <c r="A7385"/>
  <c r="A7386"/>
  <c r="A7387"/>
  <c r="A7388"/>
  <c r="A7389"/>
  <c r="A7390"/>
  <c r="A7391"/>
  <c r="A7392"/>
  <c r="A7393"/>
  <c r="A7394"/>
  <c r="A7395"/>
  <c r="A7396"/>
  <c r="A7397"/>
  <c r="A7398"/>
  <c r="A7399"/>
  <c r="A7400"/>
  <c r="A7401"/>
  <c r="A7402"/>
  <c r="A7403"/>
  <c r="A7404"/>
  <c r="A7405"/>
  <c r="A7406"/>
  <c r="A7407"/>
  <c r="A7408"/>
  <c r="A7409"/>
  <c r="A7410"/>
  <c r="A7411"/>
  <c r="A7412"/>
  <c r="A7413"/>
  <c r="A7414"/>
  <c r="A7415"/>
  <c r="A7416"/>
  <c r="A7417"/>
  <c r="A7418"/>
  <c r="A7419"/>
  <c r="A7420"/>
  <c r="A7421"/>
  <c r="A7422"/>
  <c r="A7423"/>
  <c r="A7424"/>
  <c r="A7425"/>
  <c r="A7426"/>
  <c r="A7427"/>
  <c r="A7428"/>
  <c r="A7429"/>
  <c r="A7430"/>
  <c r="A7431"/>
  <c r="A7432"/>
  <c r="A7433"/>
  <c r="A7434"/>
  <c r="A7435"/>
  <c r="A7436"/>
  <c r="A7437"/>
  <c r="A7438"/>
  <c r="A7439"/>
  <c r="A7440"/>
  <c r="A7441"/>
  <c r="A7442"/>
  <c r="A7443"/>
  <c r="A7444"/>
  <c r="A7445"/>
  <c r="A7446"/>
  <c r="A7447"/>
  <c r="A7448"/>
  <c r="A7449"/>
  <c r="A7450"/>
  <c r="A7451"/>
  <c r="A7452"/>
  <c r="A7453"/>
  <c r="A7454"/>
  <c r="A7455"/>
  <c r="A7456"/>
  <c r="A7457"/>
  <c r="A7458"/>
  <c r="A7459"/>
  <c r="A7460"/>
  <c r="A7461"/>
  <c r="A7462"/>
  <c r="A7463"/>
  <c r="A7464"/>
  <c r="A7465"/>
  <c r="A7466"/>
  <c r="A7467"/>
  <c r="A7468"/>
  <c r="A7469"/>
  <c r="A7470"/>
  <c r="A7471"/>
  <c r="A7472"/>
  <c r="A7473"/>
  <c r="A7474"/>
  <c r="A7475"/>
  <c r="A7476"/>
  <c r="A7477"/>
  <c r="A7478"/>
  <c r="A7479"/>
  <c r="A7480"/>
  <c r="A7481"/>
  <c r="A7482"/>
  <c r="A7483"/>
  <c r="A7484"/>
  <c r="A7485"/>
  <c r="A7486"/>
  <c r="A7487"/>
  <c r="A7488"/>
  <c r="A7489"/>
  <c r="A7490"/>
  <c r="A7491"/>
  <c r="A7492"/>
  <c r="A7493"/>
  <c r="A7494"/>
  <c r="A7495"/>
  <c r="A7496"/>
  <c r="A7497"/>
  <c r="A7498"/>
  <c r="A7499"/>
  <c r="A7500"/>
  <c r="A7501"/>
  <c r="A7502"/>
  <c r="A7503"/>
  <c r="A7504"/>
  <c r="A7505"/>
  <c r="A7506"/>
  <c r="A7507"/>
  <c r="A7508"/>
  <c r="A7509"/>
  <c r="A7510"/>
  <c r="A7511"/>
  <c r="A7512"/>
  <c r="A7513"/>
  <c r="A7514"/>
  <c r="A7515"/>
  <c r="A7516"/>
  <c r="A7517"/>
  <c r="A7518"/>
  <c r="A7519"/>
  <c r="A7520"/>
  <c r="A7521"/>
  <c r="A7522"/>
  <c r="A7523"/>
  <c r="A7524"/>
  <c r="A7525"/>
  <c r="A7526"/>
  <c r="A7527"/>
  <c r="A7528"/>
  <c r="A7529"/>
  <c r="A7530"/>
  <c r="A7531"/>
  <c r="A7532"/>
  <c r="A7533"/>
  <c r="A7534"/>
  <c r="A7535"/>
  <c r="A7536"/>
  <c r="A7537"/>
  <c r="A7538"/>
  <c r="A7539"/>
  <c r="A7540"/>
  <c r="A7541"/>
  <c r="A7542"/>
  <c r="A7543"/>
  <c r="A7544"/>
  <c r="A7545"/>
  <c r="A7546"/>
  <c r="A7547"/>
  <c r="A7548"/>
  <c r="A7549"/>
  <c r="A7550"/>
  <c r="A7551"/>
  <c r="A7552"/>
  <c r="A7553"/>
  <c r="A7554"/>
  <c r="A7555"/>
  <c r="A7556"/>
  <c r="A7557"/>
  <c r="A7558"/>
  <c r="A7559"/>
  <c r="A7560"/>
  <c r="A7561"/>
  <c r="A7562"/>
  <c r="A7563"/>
  <c r="A7564"/>
  <c r="A7565"/>
  <c r="A7566"/>
  <c r="A7567"/>
  <c r="A7568"/>
  <c r="A7569"/>
  <c r="A7570"/>
  <c r="A7571"/>
  <c r="A7572"/>
  <c r="A7573"/>
  <c r="A7574"/>
  <c r="A7575"/>
  <c r="A7576"/>
  <c r="A7577"/>
  <c r="A7578"/>
  <c r="A7579"/>
  <c r="A7580"/>
  <c r="A7581"/>
  <c r="A7582"/>
  <c r="A7583"/>
  <c r="A7584"/>
  <c r="A7585"/>
  <c r="A7586"/>
  <c r="A7587"/>
  <c r="A7588"/>
  <c r="A7589"/>
  <c r="A7590"/>
  <c r="A7591"/>
  <c r="A7592"/>
  <c r="A7593"/>
  <c r="A7594"/>
  <c r="A7595"/>
  <c r="A7596"/>
  <c r="A7597"/>
  <c r="A7598"/>
  <c r="A7599"/>
  <c r="A7600"/>
  <c r="A7601"/>
  <c r="A7602"/>
  <c r="A7603"/>
  <c r="A7604"/>
  <c r="A7605"/>
  <c r="A7606"/>
  <c r="A7607"/>
  <c r="A7608"/>
  <c r="A7609"/>
  <c r="A7610"/>
  <c r="A7611"/>
  <c r="A7612"/>
  <c r="A7613"/>
  <c r="A7614"/>
  <c r="A7615"/>
  <c r="A7616"/>
  <c r="A7617"/>
  <c r="A7618"/>
  <c r="A7619"/>
  <c r="A7620"/>
  <c r="A7621"/>
  <c r="A7622"/>
  <c r="A7623"/>
  <c r="A7624"/>
  <c r="A7625"/>
  <c r="A7626"/>
  <c r="A7627"/>
  <c r="A7628"/>
  <c r="A7629"/>
  <c r="A7630"/>
  <c r="A7631"/>
  <c r="A7632"/>
  <c r="A7633"/>
  <c r="A7634"/>
  <c r="A7635"/>
  <c r="A7636"/>
  <c r="A7637"/>
  <c r="A7638"/>
  <c r="A7639"/>
  <c r="A7640"/>
  <c r="A7641"/>
  <c r="A7642"/>
  <c r="A7643"/>
  <c r="A7644"/>
  <c r="A7645"/>
  <c r="A7646"/>
  <c r="A7647"/>
  <c r="A7648"/>
  <c r="A7649"/>
  <c r="A7650"/>
  <c r="A7651"/>
  <c r="A7652"/>
  <c r="A7653"/>
  <c r="A7654"/>
  <c r="A7655"/>
  <c r="A7656"/>
  <c r="A7657"/>
  <c r="A7658"/>
  <c r="A7659"/>
  <c r="A7660"/>
  <c r="A7661"/>
  <c r="A7662"/>
  <c r="A7663"/>
  <c r="A7664"/>
  <c r="A7665"/>
  <c r="A7666"/>
  <c r="A7667"/>
  <c r="A7668"/>
  <c r="A7669"/>
  <c r="A7670"/>
  <c r="A7671"/>
  <c r="A7672"/>
  <c r="A7673"/>
  <c r="A7674"/>
  <c r="A7675"/>
  <c r="A7676"/>
  <c r="A7677"/>
  <c r="A7678"/>
  <c r="A7679"/>
  <c r="A7680"/>
  <c r="A7681"/>
  <c r="A7682"/>
  <c r="A7683"/>
  <c r="A7684"/>
  <c r="A7685"/>
  <c r="A7686"/>
  <c r="A7687"/>
  <c r="A7688"/>
  <c r="A7689"/>
  <c r="A7690"/>
  <c r="A7691"/>
  <c r="A7692"/>
  <c r="A7693"/>
  <c r="A7694"/>
  <c r="A7695"/>
  <c r="A7696"/>
  <c r="A7697"/>
  <c r="A7698"/>
  <c r="A7699"/>
  <c r="A7700"/>
  <c r="A7701"/>
  <c r="A7702"/>
  <c r="A7703"/>
  <c r="A7704"/>
  <c r="A7705"/>
  <c r="A7706"/>
  <c r="A7707"/>
  <c r="A7708"/>
  <c r="A7709"/>
  <c r="A7710"/>
  <c r="A7711"/>
  <c r="A7712"/>
  <c r="A7713"/>
  <c r="A7714"/>
  <c r="A7715"/>
  <c r="A7716"/>
  <c r="A7717"/>
  <c r="A7718"/>
  <c r="A7719"/>
  <c r="A7720"/>
  <c r="A7721"/>
  <c r="A7722"/>
  <c r="A7723"/>
  <c r="A7724"/>
  <c r="A7725"/>
  <c r="A7726"/>
  <c r="A7727"/>
  <c r="A7728"/>
  <c r="A7729"/>
  <c r="A7730"/>
  <c r="A7731"/>
  <c r="A7732"/>
  <c r="A7733"/>
  <c r="A7734"/>
  <c r="A7735"/>
  <c r="A7736"/>
  <c r="A7737"/>
  <c r="A7738"/>
  <c r="A7739"/>
  <c r="A7740"/>
  <c r="A7741"/>
  <c r="A7742"/>
  <c r="A7743"/>
  <c r="A7744"/>
  <c r="A7745"/>
  <c r="A7746"/>
  <c r="A7747"/>
  <c r="A7748"/>
  <c r="A7749"/>
  <c r="A7750"/>
  <c r="A7751"/>
  <c r="A7752"/>
  <c r="A7753"/>
  <c r="A7754"/>
  <c r="A7755"/>
  <c r="A7756"/>
  <c r="A7757"/>
  <c r="A7758"/>
  <c r="A7759"/>
  <c r="A7760"/>
  <c r="A7761"/>
  <c r="A7762"/>
  <c r="A7763"/>
  <c r="A7764"/>
  <c r="A7765"/>
  <c r="A7766"/>
  <c r="A7767"/>
  <c r="A7768"/>
  <c r="A7769"/>
  <c r="A7770"/>
  <c r="A7771"/>
  <c r="A7772"/>
  <c r="A7773"/>
  <c r="A7774"/>
  <c r="A7775"/>
  <c r="A7776"/>
  <c r="A7777"/>
  <c r="A7778"/>
  <c r="A7779"/>
  <c r="A7780"/>
  <c r="A7781"/>
  <c r="A7782"/>
  <c r="A7783"/>
  <c r="A7784"/>
  <c r="A7785"/>
  <c r="A7786"/>
  <c r="A7787"/>
  <c r="A7788"/>
  <c r="A7789"/>
  <c r="A7790"/>
  <c r="A7791"/>
  <c r="A7792"/>
  <c r="A7793"/>
  <c r="A7794"/>
  <c r="A7795"/>
  <c r="A7796"/>
  <c r="A7797"/>
  <c r="A7798"/>
  <c r="A7799"/>
  <c r="A7800"/>
  <c r="A7801"/>
  <c r="A7802"/>
  <c r="A7803"/>
  <c r="A7804"/>
  <c r="A7805"/>
  <c r="A7806"/>
  <c r="A7807"/>
  <c r="A7808"/>
  <c r="A7809"/>
  <c r="A7810"/>
  <c r="A7811"/>
  <c r="A7812"/>
  <c r="A7813"/>
  <c r="A7814"/>
  <c r="A7815"/>
  <c r="A7816"/>
  <c r="A7817"/>
  <c r="A7818"/>
  <c r="A7819"/>
  <c r="A7820"/>
  <c r="A7821"/>
  <c r="A7822"/>
  <c r="A7823"/>
  <c r="A7824"/>
  <c r="A7825"/>
  <c r="A7826"/>
  <c r="A7827"/>
  <c r="A7828"/>
  <c r="A7829"/>
  <c r="A7830"/>
  <c r="A7831"/>
  <c r="A7832"/>
  <c r="A7833"/>
  <c r="A7834"/>
  <c r="A7835"/>
  <c r="A7836"/>
  <c r="A7837"/>
  <c r="A7838"/>
  <c r="A7839"/>
  <c r="A7840"/>
  <c r="A7841"/>
  <c r="A7842"/>
  <c r="A7843"/>
  <c r="A7844"/>
  <c r="A7845"/>
  <c r="A7846"/>
  <c r="A7847"/>
  <c r="A7848"/>
  <c r="A7849"/>
  <c r="A7850"/>
  <c r="A7851"/>
  <c r="A7852"/>
  <c r="A7853"/>
  <c r="A7854"/>
  <c r="A7855"/>
  <c r="A7856"/>
  <c r="A7857"/>
  <c r="A7858"/>
  <c r="A7859"/>
  <c r="A7860"/>
  <c r="A7861"/>
  <c r="A7862"/>
  <c r="A7863"/>
  <c r="A7864"/>
  <c r="A7865"/>
  <c r="A7866"/>
  <c r="A7867"/>
  <c r="A7868"/>
  <c r="A7869"/>
  <c r="A7870"/>
  <c r="A7871"/>
  <c r="A7872"/>
  <c r="A7873"/>
  <c r="A7874"/>
  <c r="A7875"/>
  <c r="A7876"/>
  <c r="A7877"/>
  <c r="A7878"/>
  <c r="A7879"/>
  <c r="A7880"/>
  <c r="A7881"/>
  <c r="A7882"/>
  <c r="A7883"/>
  <c r="A7884"/>
  <c r="A7885"/>
  <c r="A7886"/>
  <c r="A7887"/>
  <c r="A7888"/>
  <c r="A7889"/>
  <c r="A7890"/>
  <c r="A7891"/>
  <c r="A7892"/>
  <c r="A7893"/>
  <c r="A7894"/>
  <c r="A7895"/>
  <c r="A7896"/>
  <c r="A7897"/>
  <c r="A7898"/>
  <c r="A7899"/>
  <c r="A7900"/>
  <c r="A7901"/>
  <c r="A7902"/>
  <c r="A7903"/>
  <c r="A7904"/>
  <c r="A7905"/>
  <c r="A7906"/>
  <c r="A7907"/>
  <c r="A7908"/>
  <c r="A7909"/>
  <c r="A7910"/>
  <c r="A7911"/>
  <c r="A7912"/>
  <c r="A7913"/>
  <c r="A7914"/>
  <c r="A7915"/>
  <c r="A7916"/>
  <c r="A7917"/>
  <c r="A7918"/>
  <c r="A7919"/>
  <c r="A7920"/>
  <c r="A7921"/>
  <c r="A7922"/>
  <c r="A7923"/>
  <c r="A7924"/>
  <c r="A7925"/>
  <c r="A7926"/>
  <c r="A7927"/>
  <c r="A7928"/>
  <c r="A7929"/>
  <c r="A7930"/>
  <c r="A7931"/>
  <c r="A7932"/>
  <c r="A7933"/>
  <c r="A7934"/>
  <c r="A7935"/>
  <c r="A7936"/>
  <c r="A7937"/>
  <c r="A7938"/>
  <c r="A7939"/>
  <c r="A7940"/>
  <c r="A7941"/>
  <c r="A7942"/>
  <c r="A7943"/>
  <c r="A7944"/>
  <c r="A7945"/>
  <c r="A7946"/>
  <c r="A7947"/>
  <c r="A7948"/>
  <c r="A7949"/>
  <c r="A7950"/>
  <c r="A7951"/>
  <c r="A7952"/>
  <c r="A7953"/>
  <c r="A7954"/>
  <c r="A7955"/>
  <c r="A7956"/>
  <c r="A7957"/>
  <c r="A7958"/>
  <c r="A7959"/>
  <c r="A7960"/>
  <c r="A7961"/>
  <c r="A7962"/>
  <c r="A7963"/>
  <c r="A7964"/>
  <c r="A7965"/>
  <c r="A7966"/>
  <c r="A7967"/>
  <c r="A7968"/>
  <c r="A7969"/>
  <c r="A7970"/>
  <c r="A7971"/>
  <c r="A7972"/>
  <c r="A7973"/>
  <c r="A7974"/>
  <c r="A7975"/>
  <c r="A7976"/>
  <c r="A7977"/>
  <c r="A7978"/>
  <c r="A7979"/>
  <c r="A7980"/>
  <c r="A7981"/>
  <c r="A7982"/>
  <c r="A7983"/>
  <c r="A7984"/>
  <c r="A7985"/>
  <c r="A7986"/>
  <c r="A7987"/>
  <c r="A7988"/>
  <c r="A7989"/>
  <c r="A7990"/>
  <c r="A7991"/>
  <c r="A7992"/>
  <c r="A7993"/>
  <c r="A7994"/>
  <c r="A7995"/>
  <c r="A7996"/>
  <c r="A7997"/>
  <c r="A7998"/>
  <c r="A7999"/>
  <c r="A8000"/>
  <c r="A8001"/>
  <c r="A8002"/>
  <c r="A8003"/>
  <c r="A8004"/>
  <c r="A8005"/>
  <c r="A8006"/>
  <c r="A8007"/>
  <c r="A8008"/>
  <c r="A8009"/>
  <c r="A8010"/>
  <c r="A8011"/>
  <c r="A8012"/>
  <c r="A8013"/>
  <c r="A8014"/>
  <c r="A8015"/>
  <c r="A8016"/>
  <c r="A8017"/>
  <c r="A8018"/>
  <c r="A8019"/>
  <c r="A8020"/>
  <c r="A8021"/>
  <c r="A8022"/>
  <c r="A8023"/>
  <c r="A8024"/>
  <c r="A8025"/>
  <c r="A8026"/>
  <c r="A8027"/>
  <c r="A8028"/>
  <c r="A8029"/>
  <c r="A8030"/>
  <c r="A8031"/>
  <c r="A8032"/>
  <c r="A8033"/>
  <c r="A8034"/>
  <c r="A8035"/>
  <c r="A8036"/>
  <c r="A8037"/>
  <c r="A8038"/>
  <c r="A8039"/>
  <c r="A8040"/>
  <c r="A8041"/>
  <c r="A8042"/>
  <c r="A8043"/>
  <c r="A8044"/>
  <c r="A8045"/>
  <c r="A8046"/>
  <c r="A8047"/>
  <c r="A8048"/>
  <c r="A8049"/>
  <c r="A8050"/>
  <c r="A8051"/>
  <c r="A8052"/>
  <c r="A8053"/>
  <c r="A8054"/>
  <c r="A8055"/>
  <c r="A8056"/>
  <c r="A8057"/>
  <c r="A8058"/>
  <c r="A8059"/>
  <c r="A8060"/>
  <c r="A8061"/>
  <c r="A8062"/>
  <c r="A8063"/>
  <c r="A8064"/>
  <c r="A8065"/>
  <c r="A8066"/>
  <c r="A8067"/>
  <c r="A8068"/>
  <c r="A8069"/>
  <c r="A8070"/>
  <c r="A8071"/>
  <c r="A8072"/>
  <c r="A8073"/>
  <c r="A8074"/>
  <c r="A8075"/>
  <c r="A8076"/>
  <c r="A8077"/>
  <c r="A8078"/>
  <c r="A8079"/>
  <c r="A8080"/>
  <c r="A8081"/>
  <c r="A8082"/>
  <c r="A8083"/>
  <c r="A8084"/>
  <c r="A8085"/>
  <c r="A8086"/>
  <c r="A8087"/>
  <c r="A8088"/>
  <c r="A8089"/>
  <c r="A8090"/>
  <c r="A8091"/>
  <c r="A8092"/>
  <c r="A8093"/>
  <c r="A8094"/>
  <c r="A8095"/>
  <c r="A8096"/>
  <c r="A8097"/>
  <c r="A8098"/>
  <c r="A8099"/>
  <c r="A8100"/>
  <c r="A8101"/>
  <c r="A8102"/>
  <c r="A8103"/>
  <c r="A8104"/>
  <c r="A8105"/>
  <c r="A8106"/>
  <c r="A8107"/>
  <c r="A8108"/>
  <c r="A8109"/>
  <c r="A8110"/>
  <c r="A8111"/>
  <c r="A8112"/>
  <c r="A8113"/>
  <c r="A8114"/>
  <c r="A8115"/>
  <c r="A8116"/>
  <c r="A8117"/>
  <c r="A8118"/>
  <c r="A8119"/>
  <c r="A8120"/>
  <c r="A8121"/>
  <c r="A8122"/>
  <c r="A8123"/>
  <c r="A8124"/>
  <c r="A8125"/>
  <c r="A8126"/>
  <c r="A8127"/>
  <c r="A8128"/>
  <c r="A8129"/>
  <c r="A8130"/>
  <c r="A8131"/>
  <c r="A8132"/>
  <c r="A8133"/>
  <c r="A8134"/>
  <c r="A8135"/>
  <c r="A8136"/>
  <c r="A8137"/>
  <c r="A8138"/>
  <c r="A8139"/>
  <c r="A8140"/>
  <c r="A8141"/>
  <c r="A8142"/>
  <c r="A8143"/>
  <c r="A8144"/>
  <c r="A8145"/>
  <c r="A8146"/>
  <c r="A8147"/>
  <c r="A8148"/>
  <c r="A8149"/>
  <c r="A8150"/>
  <c r="A8151"/>
  <c r="A8152"/>
  <c r="A8153"/>
  <c r="A8154"/>
  <c r="A8155"/>
  <c r="A8156"/>
  <c r="A8157"/>
  <c r="A8158"/>
  <c r="A8159"/>
  <c r="A8160"/>
  <c r="A8161"/>
  <c r="A8162"/>
  <c r="A8163"/>
  <c r="A8164"/>
  <c r="A8165"/>
  <c r="A8166"/>
  <c r="A8167"/>
  <c r="A8168"/>
  <c r="A8169"/>
  <c r="A8170"/>
  <c r="A8171"/>
  <c r="A8172"/>
  <c r="A8173"/>
  <c r="A8174"/>
  <c r="A8175"/>
  <c r="A8176"/>
  <c r="A8177"/>
  <c r="A8178"/>
  <c r="A8179"/>
  <c r="A8180"/>
  <c r="A8181"/>
  <c r="A8182"/>
  <c r="A8183"/>
  <c r="A8184"/>
  <c r="A8185"/>
  <c r="A8186"/>
  <c r="A8187"/>
  <c r="A8188"/>
  <c r="A8189"/>
  <c r="A8190"/>
  <c r="A8191"/>
  <c r="A8192"/>
  <c r="A8193"/>
  <c r="A8194"/>
  <c r="A8195"/>
  <c r="A8196"/>
  <c r="A8197"/>
  <c r="A8198"/>
  <c r="A8199"/>
  <c r="A8200"/>
  <c r="A8201"/>
  <c r="A8202"/>
  <c r="A8203"/>
  <c r="A8204"/>
  <c r="A8205"/>
  <c r="A8206"/>
  <c r="A8207"/>
  <c r="A8208"/>
  <c r="A8209"/>
  <c r="A8210"/>
  <c r="A8211"/>
  <c r="A8212"/>
  <c r="A8213"/>
  <c r="A8214"/>
  <c r="A8215"/>
  <c r="A8216"/>
  <c r="A8217"/>
  <c r="A8218"/>
  <c r="A8219"/>
  <c r="A8220"/>
  <c r="A8221"/>
  <c r="A8222"/>
  <c r="A8223"/>
  <c r="A8224"/>
  <c r="A8225"/>
  <c r="A8226"/>
  <c r="A8227"/>
  <c r="A8228"/>
  <c r="A8229"/>
  <c r="A8230"/>
  <c r="A8231"/>
  <c r="A8232"/>
  <c r="A8233"/>
  <c r="A8234"/>
  <c r="A8235"/>
  <c r="A8236"/>
  <c r="A8237"/>
  <c r="A8238"/>
  <c r="A8239"/>
  <c r="A8240"/>
  <c r="A8241"/>
  <c r="A8242"/>
  <c r="A8243"/>
  <c r="A8244"/>
  <c r="A8245"/>
  <c r="A8246"/>
  <c r="A8247"/>
  <c r="A8248"/>
  <c r="A8249"/>
  <c r="A8250"/>
  <c r="A8251"/>
  <c r="A8252"/>
  <c r="A8253"/>
  <c r="A8254"/>
  <c r="A8255"/>
  <c r="A8256"/>
  <c r="A8257"/>
  <c r="A8258"/>
  <c r="A8259"/>
  <c r="A8260"/>
  <c r="A8261"/>
  <c r="A8262"/>
  <c r="A8263"/>
  <c r="A8264"/>
  <c r="A8265"/>
  <c r="A8266"/>
  <c r="A8267"/>
  <c r="A8268"/>
  <c r="A8269"/>
  <c r="A8270"/>
  <c r="A8271"/>
  <c r="A8272"/>
  <c r="A8273"/>
  <c r="A8274"/>
  <c r="A8275"/>
  <c r="A8276"/>
  <c r="A8277"/>
  <c r="A8278"/>
  <c r="A8279"/>
  <c r="A8280"/>
  <c r="A8281"/>
  <c r="A8282"/>
  <c r="A8283"/>
  <c r="A8284"/>
  <c r="A8285"/>
  <c r="A8286"/>
  <c r="A8287"/>
  <c r="A8288"/>
  <c r="A8289"/>
  <c r="A8290"/>
  <c r="A8291"/>
  <c r="A8292"/>
  <c r="A8293"/>
  <c r="A8294"/>
  <c r="A8295"/>
  <c r="A8296"/>
  <c r="A8297"/>
  <c r="A8298"/>
  <c r="A8299"/>
  <c r="A8300"/>
  <c r="A8301"/>
  <c r="A8302"/>
  <c r="A8303"/>
  <c r="A8304"/>
  <c r="A8305"/>
  <c r="A8306"/>
  <c r="A8307"/>
  <c r="A8308"/>
  <c r="A8309"/>
  <c r="A8310"/>
  <c r="A8311"/>
  <c r="A8312"/>
  <c r="A8313"/>
  <c r="A8314"/>
  <c r="A8315"/>
  <c r="A8316"/>
  <c r="A8317"/>
  <c r="A8318"/>
  <c r="A8319"/>
  <c r="A8320"/>
  <c r="A8321"/>
  <c r="A8322"/>
  <c r="A8323"/>
  <c r="A8324"/>
  <c r="A8325"/>
  <c r="A8326"/>
  <c r="A8327"/>
  <c r="A8328"/>
  <c r="A8329"/>
  <c r="A8330"/>
  <c r="A8331"/>
  <c r="A8332"/>
  <c r="A8333"/>
  <c r="A8334"/>
  <c r="A8335"/>
  <c r="A8336"/>
  <c r="A8337"/>
  <c r="A8338"/>
  <c r="A8339"/>
  <c r="A8340"/>
  <c r="A8341"/>
  <c r="A8342"/>
  <c r="A8343"/>
  <c r="A8344"/>
  <c r="A8345"/>
  <c r="A8346"/>
  <c r="A8347"/>
  <c r="A8348"/>
  <c r="A8349"/>
  <c r="A8350"/>
  <c r="A8351"/>
  <c r="A8352"/>
  <c r="A8353"/>
  <c r="A8354"/>
  <c r="A8355"/>
  <c r="A8356"/>
  <c r="A8357"/>
  <c r="A8358"/>
  <c r="A8359"/>
  <c r="A8360"/>
  <c r="A8361"/>
  <c r="A8362"/>
  <c r="A8363"/>
  <c r="A8364"/>
  <c r="A8365"/>
  <c r="A8366"/>
  <c r="A8367"/>
  <c r="A8368"/>
  <c r="A8369"/>
  <c r="A8370"/>
  <c r="A8371"/>
  <c r="A8372"/>
  <c r="A8373"/>
  <c r="A8374"/>
  <c r="A8375"/>
  <c r="A8376"/>
  <c r="A8377"/>
  <c r="A8378"/>
  <c r="A8379"/>
  <c r="A8380"/>
  <c r="A8381"/>
  <c r="A8382"/>
  <c r="A8383"/>
  <c r="A8384"/>
  <c r="A8385"/>
  <c r="A8386"/>
  <c r="A8387"/>
  <c r="A8388"/>
  <c r="A8389"/>
  <c r="A8390"/>
  <c r="A8391"/>
  <c r="A8392"/>
  <c r="A8393"/>
  <c r="A8394"/>
  <c r="A8395"/>
  <c r="A8396"/>
  <c r="A8397"/>
  <c r="A8398"/>
  <c r="A8399"/>
  <c r="A8400"/>
  <c r="A8401"/>
  <c r="A8402"/>
  <c r="A8403"/>
  <c r="A8404"/>
  <c r="A8405"/>
  <c r="A8406"/>
  <c r="A8407"/>
  <c r="A8408"/>
  <c r="A8409"/>
  <c r="A8410"/>
  <c r="A8411"/>
  <c r="A8412"/>
  <c r="A8413"/>
  <c r="A8414"/>
  <c r="A8415"/>
  <c r="A8416"/>
  <c r="A8417"/>
  <c r="A8418"/>
  <c r="A8419"/>
  <c r="A8420"/>
  <c r="A8421"/>
  <c r="A8422"/>
  <c r="A8423"/>
  <c r="A8424"/>
  <c r="A8425"/>
  <c r="A8426"/>
  <c r="A8427"/>
  <c r="A8428"/>
  <c r="A8429"/>
  <c r="A8430"/>
  <c r="A8431"/>
  <c r="A8432"/>
  <c r="A8433"/>
  <c r="A8434"/>
  <c r="A8435"/>
  <c r="A8436"/>
  <c r="A8437"/>
  <c r="A8438"/>
  <c r="A8439"/>
  <c r="A8440"/>
  <c r="A8441"/>
  <c r="A8442"/>
  <c r="A8443"/>
  <c r="A8444"/>
  <c r="A8445"/>
  <c r="A8446"/>
  <c r="A8447"/>
  <c r="A8448"/>
  <c r="A8449"/>
  <c r="A8450"/>
  <c r="A8451"/>
  <c r="A8452"/>
  <c r="A8453"/>
  <c r="A8454"/>
  <c r="A8455"/>
  <c r="A8456"/>
  <c r="A8457"/>
  <c r="A8458"/>
  <c r="A8459"/>
  <c r="A8460"/>
  <c r="A8461"/>
  <c r="A8462"/>
  <c r="A8463"/>
  <c r="A8464"/>
  <c r="A8465"/>
  <c r="A8466"/>
  <c r="A8467"/>
  <c r="A8468"/>
  <c r="A8469"/>
  <c r="A8470"/>
  <c r="A8471"/>
  <c r="A8472"/>
  <c r="A8473"/>
  <c r="A8474"/>
  <c r="A8475"/>
  <c r="A8476"/>
  <c r="A8477"/>
  <c r="A8478"/>
  <c r="A8479"/>
  <c r="A8480"/>
  <c r="A8481"/>
  <c r="A8482"/>
  <c r="A8483"/>
  <c r="A8484"/>
  <c r="A8485"/>
  <c r="A8486"/>
  <c r="A8487"/>
  <c r="A8488"/>
  <c r="A8489"/>
  <c r="A8490"/>
  <c r="A8491"/>
  <c r="A8492"/>
  <c r="A8493"/>
  <c r="A8494"/>
  <c r="A8495"/>
  <c r="A8496"/>
  <c r="A8497"/>
  <c r="A8498"/>
  <c r="A8499"/>
  <c r="A8500"/>
  <c r="A1276"/>
  <c r="B4" i="10"/>
  <c r="A2" i="8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501"/>
  <c r="A502"/>
  <c r="A503"/>
  <c r="A504"/>
  <c r="A505"/>
  <c r="A506"/>
  <c r="A507"/>
  <c r="A508"/>
  <c r="A509"/>
  <c r="A510"/>
  <c r="A511"/>
  <c r="A512"/>
  <c r="A513"/>
  <c r="A514"/>
  <c r="A515"/>
  <c r="A516"/>
  <c r="A517"/>
  <c r="A518"/>
  <c r="A519"/>
  <c r="A520"/>
  <c r="A521"/>
  <c r="A522"/>
  <c r="A523"/>
  <c r="A524"/>
  <c r="A525"/>
  <c r="A526"/>
  <c r="A527"/>
  <c r="A528"/>
  <c r="A529"/>
  <c r="A530"/>
  <c r="A531"/>
  <c r="A532"/>
  <c r="A533"/>
  <c r="A534"/>
  <c r="A535"/>
  <c r="A536"/>
  <c r="A537"/>
  <c r="A538"/>
  <c r="A539"/>
  <c r="A540"/>
  <c r="A541"/>
  <c r="A542"/>
  <c r="A543"/>
  <c r="A544"/>
  <c r="A545"/>
  <c r="A546"/>
  <c r="A547"/>
  <c r="A548"/>
  <c r="A549"/>
  <c r="A550"/>
  <c r="A551"/>
  <c r="A552"/>
  <c r="A553"/>
  <c r="A554"/>
  <c r="A555"/>
  <c r="A556"/>
  <c r="A557"/>
  <c r="A558"/>
  <c r="A559"/>
  <c r="A560"/>
  <c r="A561"/>
  <c r="A562"/>
  <c r="A563"/>
  <c r="A564"/>
  <c r="A565"/>
  <c r="A566"/>
  <c r="A567"/>
  <c r="A568"/>
  <c r="A569"/>
  <c r="A570"/>
  <c r="A571"/>
  <c r="A572"/>
  <c r="A573"/>
  <c r="A574"/>
  <c r="A575"/>
  <c r="A576"/>
  <c r="A577"/>
  <c r="A578"/>
  <c r="A579"/>
  <c r="A580"/>
  <c r="A581"/>
  <c r="A582"/>
  <c r="A583"/>
  <c r="A584"/>
  <c r="A585"/>
  <c r="A586"/>
  <c r="A587"/>
  <c r="A588"/>
  <c r="A589"/>
  <c r="A590"/>
  <c r="A591"/>
  <c r="A592"/>
  <c r="A593"/>
  <c r="A594"/>
  <c r="A595"/>
  <c r="A596"/>
  <c r="A597"/>
  <c r="A598"/>
  <c r="A599"/>
  <c r="A600"/>
  <c r="A601"/>
  <c r="A602"/>
  <c r="A603"/>
  <c r="A604"/>
  <c r="A605"/>
  <c r="A606"/>
  <c r="A607"/>
  <c r="A608"/>
  <c r="A609"/>
  <c r="A610"/>
  <c r="A611"/>
  <c r="A612"/>
  <c r="A613"/>
  <c r="A614"/>
  <c r="A615"/>
  <c r="A616"/>
  <c r="A617"/>
  <c r="A618"/>
  <c r="A619"/>
  <c r="A620"/>
  <c r="A621"/>
  <c r="A622"/>
  <c r="A623"/>
  <c r="A624"/>
  <c r="A625"/>
  <c r="A626"/>
  <c r="A627"/>
  <c r="A628"/>
  <c r="A629"/>
  <c r="A630"/>
  <c r="A631"/>
  <c r="A632"/>
  <c r="A633"/>
  <c r="A634"/>
  <c r="A635"/>
  <c r="A636"/>
  <c r="A637"/>
  <c r="A638"/>
  <c r="A639"/>
  <c r="A640"/>
  <c r="A641"/>
  <c r="A642"/>
  <c r="A643"/>
  <c r="A644"/>
  <c r="A645"/>
  <c r="A646"/>
  <c r="A647"/>
  <c r="A648"/>
  <c r="A649"/>
  <c r="A650"/>
  <c r="A651"/>
  <c r="A652"/>
  <c r="A653"/>
  <c r="A654"/>
  <c r="A655"/>
  <c r="A656"/>
  <c r="A657"/>
  <c r="A658"/>
  <c r="A659"/>
  <c r="A660"/>
  <c r="A661"/>
  <c r="A662"/>
  <c r="A663"/>
  <c r="A664"/>
  <c r="A665"/>
  <c r="A666"/>
  <c r="A667"/>
  <c r="A668"/>
  <c r="A669"/>
  <c r="A670"/>
  <c r="A671"/>
  <c r="A672"/>
  <c r="A673"/>
  <c r="A674"/>
  <c r="A675"/>
  <c r="A676"/>
  <c r="A677"/>
  <c r="A678"/>
  <c r="A679"/>
  <c r="A680"/>
  <c r="A681"/>
  <c r="A682"/>
  <c r="A683"/>
  <c r="A684"/>
  <c r="A685"/>
  <c r="A686"/>
  <c r="A687"/>
  <c r="A688"/>
  <c r="A689"/>
  <c r="A690"/>
  <c r="A691"/>
  <c r="A692"/>
  <c r="A693"/>
  <c r="A694"/>
  <c r="A695"/>
  <c r="A696"/>
  <c r="A697"/>
  <c r="A698"/>
  <c r="A699"/>
  <c r="A700"/>
  <c r="A701"/>
  <c r="A702"/>
  <c r="A703"/>
  <c r="A704"/>
  <c r="A705"/>
  <c r="A706"/>
  <c r="A707"/>
  <c r="A708"/>
  <c r="A709"/>
  <c r="A710"/>
  <c r="A711"/>
  <c r="A712"/>
  <c r="A713"/>
  <c r="A714"/>
  <c r="A715"/>
  <c r="A716"/>
  <c r="A717"/>
  <c r="A718"/>
  <c r="A719"/>
  <c r="A720"/>
  <c r="A721"/>
  <c r="A722"/>
  <c r="A723"/>
  <c r="A724"/>
  <c r="A725"/>
  <c r="A726"/>
  <c r="A727"/>
  <c r="A728"/>
  <c r="A729"/>
  <c r="A730"/>
  <c r="A731"/>
  <c r="A732"/>
  <c r="A733"/>
  <c r="A734"/>
  <c r="A735"/>
  <c r="A736"/>
  <c r="A737"/>
  <c r="A738"/>
  <c r="A739"/>
  <c r="A740"/>
  <c r="A741"/>
  <c r="A742"/>
  <c r="A743"/>
  <c r="A744"/>
  <c r="A745"/>
  <c r="A746"/>
  <c r="A747"/>
  <c r="A748"/>
  <c r="A749"/>
  <c r="A750"/>
  <c r="A751"/>
  <c r="A752"/>
  <c r="A753"/>
  <c r="A754"/>
  <c r="A755"/>
  <c r="A756"/>
  <c r="A757"/>
  <c r="A758"/>
  <c r="A759"/>
  <c r="A760"/>
  <c r="A761"/>
  <c r="A762"/>
  <c r="A763"/>
  <c r="A764"/>
  <c r="A765"/>
  <c r="A766"/>
  <c r="A767"/>
  <c r="A768"/>
  <c r="A769"/>
  <c r="A770"/>
  <c r="A771"/>
  <c r="A772"/>
  <c r="A773"/>
  <c r="A774"/>
  <c r="A775"/>
  <c r="A776"/>
  <c r="A777"/>
  <c r="A778"/>
  <c r="A779"/>
  <c r="A780"/>
  <c r="A781"/>
  <c r="A782"/>
  <c r="A783"/>
  <c r="A784"/>
  <c r="A785"/>
  <c r="A786"/>
  <c r="A787"/>
  <c r="A788"/>
  <c r="A789"/>
  <c r="A790"/>
  <c r="A791"/>
  <c r="A792"/>
  <c r="A793"/>
  <c r="A794"/>
  <c r="A795"/>
  <c r="A796"/>
  <c r="A797"/>
  <c r="A798"/>
  <c r="A799"/>
  <c r="A800"/>
  <c r="A801"/>
  <c r="A802"/>
  <c r="A803"/>
  <c r="A804"/>
  <c r="A805"/>
  <c r="A806"/>
  <c r="A807"/>
  <c r="A808"/>
  <c r="A809"/>
  <c r="A810"/>
  <c r="A811"/>
  <c r="A812"/>
  <c r="A813"/>
  <c r="A814"/>
  <c r="A815"/>
  <c r="A816"/>
  <c r="A817"/>
  <c r="A818"/>
  <c r="A819"/>
  <c r="A820"/>
  <c r="A821"/>
  <c r="A822"/>
  <c r="A823"/>
  <c r="A824"/>
  <c r="A825"/>
  <c r="A826"/>
  <c r="A827"/>
  <c r="A828"/>
  <c r="A829"/>
  <c r="A830"/>
  <c r="A831"/>
  <c r="A832"/>
  <c r="A833"/>
  <c r="A834"/>
  <c r="A835"/>
  <c r="A836"/>
  <c r="A837"/>
  <c r="A838"/>
  <c r="A839"/>
  <c r="A840"/>
  <c r="A841"/>
  <c r="A842"/>
  <c r="A843"/>
  <c r="A844"/>
  <c r="A845"/>
  <c r="A846"/>
  <c r="A847"/>
  <c r="A848"/>
  <c r="A849"/>
  <c r="A850"/>
  <c r="A851"/>
  <c r="A852"/>
  <c r="A853"/>
  <c r="A854"/>
  <c r="A855"/>
  <c r="A856"/>
  <c r="A857"/>
  <c r="A858"/>
  <c r="A859"/>
  <c r="A860"/>
  <c r="A861"/>
  <c r="A862"/>
  <c r="A863"/>
  <c r="A864"/>
  <c r="A865"/>
  <c r="A866"/>
  <c r="A867"/>
  <c r="A868"/>
  <c r="A869"/>
  <c r="A870"/>
  <c r="A871"/>
  <c r="A872"/>
  <c r="A873"/>
  <c r="A874"/>
  <c r="A875"/>
  <c r="A876"/>
  <c r="A877"/>
  <c r="A878"/>
  <c r="A879"/>
  <c r="A880"/>
  <c r="A881"/>
  <c r="A882"/>
  <c r="A883"/>
  <c r="A884"/>
  <c r="A885"/>
  <c r="A886"/>
  <c r="A887"/>
  <c r="A888"/>
  <c r="A889"/>
  <c r="A890"/>
  <c r="A891"/>
  <c r="A892"/>
  <c r="A893"/>
  <c r="A894"/>
  <c r="A895"/>
  <c r="A896"/>
  <c r="A897"/>
  <c r="A898"/>
  <c r="A899"/>
  <c r="A900"/>
  <c r="A901"/>
  <c r="A902"/>
  <c r="A903"/>
  <c r="A904"/>
  <c r="A905"/>
  <c r="A906"/>
  <c r="A907"/>
  <c r="A908"/>
  <c r="A909"/>
  <c r="A910"/>
  <c r="A911"/>
  <c r="A912"/>
  <c r="A913"/>
  <c r="A914"/>
  <c r="A915"/>
  <c r="A916"/>
  <c r="A917"/>
  <c r="A918"/>
  <c r="A919"/>
  <c r="A920"/>
  <c r="A921"/>
  <c r="A922"/>
  <c r="A923"/>
  <c r="A924"/>
  <c r="A925"/>
  <c r="A926"/>
  <c r="A927"/>
  <c r="A928"/>
  <c r="A929"/>
  <c r="A930"/>
  <c r="A931"/>
  <c r="A932"/>
  <c r="A933"/>
  <c r="A934"/>
  <c r="A935"/>
  <c r="A936"/>
  <c r="A937"/>
  <c r="A938"/>
  <c r="A939"/>
  <c r="A940"/>
  <c r="A941"/>
  <c r="A942"/>
  <c r="A943"/>
  <c r="A944"/>
  <c r="A945"/>
  <c r="A946"/>
  <c r="A947"/>
  <c r="A948"/>
  <c r="A949"/>
  <c r="A950"/>
  <c r="A951"/>
  <c r="A952"/>
  <c r="A953"/>
  <c r="A954"/>
  <c r="A955"/>
  <c r="A956"/>
  <c r="A957"/>
  <c r="A958"/>
  <c r="A959"/>
  <c r="A960"/>
  <c r="A961"/>
  <c r="A962"/>
  <c r="A963"/>
  <c r="A964"/>
  <c r="A965"/>
  <c r="A966"/>
  <c r="A967"/>
  <c r="A968"/>
  <c r="A969"/>
  <c r="A970"/>
  <c r="A971"/>
  <c r="A972"/>
  <c r="A973"/>
  <c r="A974"/>
  <c r="A975"/>
  <c r="A976"/>
  <c r="A977"/>
  <c r="A978"/>
  <c r="A979"/>
  <c r="A980"/>
  <c r="A981"/>
  <c r="A982"/>
  <c r="A983"/>
  <c r="A984"/>
  <c r="A985"/>
  <c r="A986"/>
  <c r="A987"/>
  <c r="A988"/>
  <c r="A989"/>
  <c r="A990"/>
  <c r="A991"/>
  <c r="A992"/>
  <c r="A993"/>
  <c r="A994"/>
  <c r="A995"/>
  <c r="A996"/>
  <c r="A997"/>
  <c r="A998"/>
  <c r="A999"/>
  <c r="A1000"/>
  <c r="A1001"/>
  <c r="A1002"/>
  <c r="A1003"/>
  <c r="A1004"/>
  <c r="A1005"/>
  <c r="A1006"/>
  <c r="A1007"/>
  <c r="A1008"/>
  <c r="A1009"/>
  <c r="A1010"/>
  <c r="A1011"/>
  <c r="A1012"/>
  <c r="A1013"/>
  <c r="A1014"/>
  <c r="A1015"/>
  <c r="A1016"/>
  <c r="A1017"/>
  <c r="A1018"/>
  <c r="A1019"/>
  <c r="A1020"/>
  <c r="A1021"/>
  <c r="A1022"/>
  <c r="A1023"/>
  <c r="A1024"/>
  <c r="A1025"/>
  <c r="A1026"/>
  <c r="A1027"/>
  <c r="A1028"/>
  <c r="A1029"/>
  <c r="A1030"/>
  <c r="A1031"/>
  <c r="A1032"/>
  <c r="A1033"/>
  <c r="A1034"/>
  <c r="A1035"/>
  <c r="A1036"/>
  <c r="A1037"/>
  <c r="A1038"/>
  <c r="A1039"/>
  <c r="A1040"/>
  <c r="A1041"/>
  <c r="A1042"/>
  <c r="A1043"/>
  <c r="A1044"/>
  <c r="A1045"/>
  <c r="A1046"/>
  <c r="A1047"/>
  <c r="A1048"/>
  <c r="A1049"/>
  <c r="A1050"/>
  <c r="A1051"/>
  <c r="A1052"/>
  <c r="A1053"/>
  <c r="A1054"/>
  <c r="A1055"/>
  <c r="A1056"/>
  <c r="A1057"/>
  <c r="A1058"/>
  <c r="A1059"/>
  <c r="A1060"/>
  <c r="A1061"/>
  <c r="A1062"/>
  <c r="A1063"/>
  <c r="A1064"/>
  <c r="A1065"/>
  <c r="A1066"/>
  <c r="A1067"/>
  <c r="A1068"/>
  <c r="A1069"/>
  <c r="A1070"/>
  <c r="A1071"/>
  <c r="A1072"/>
  <c r="A1073"/>
  <c r="A1074"/>
  <c r="A1075"/>
  <c r="A1076"/>
  <c r="A1077"/>
  <c r="A1078"/>
  <c r="A1079"/>
  <c r="A1080"/>
  <c r="A1081"/>
  <c r="A1082"/>
  <c r="A1083"/>
  <c r="A1084"/>
  <c r="A1085"/>
  <c r="A1086"/>
  <c r="A1087"/>
  <c r="A1088"/>
  <c r="A1089"/>
  <c r="A1090"/>
  <c r="A1091"/>
  <c r="A1092"/>
  <c r="A1093"/>
  <c r="A1094"/>
  <c r="A1095"/>
  <c r="A1096"/>
  <c r="A1097"/>
  <c r="A1098"/>
  <c r="A1099"/>
  <c r="A1100"/>
  <c r="A1101"/>
  <c r="A1102"/>
  <c r="A1103"/>
  <c r="A1104"/>
  <c r="A1105"/>
  <c r="A1106"/>
  <c r="A1107"/>
  <c r="A1108"/>
  <c r="A1109"/>
  <c r="A1110"/>
  <c r="A1111"/>
  <c r="A1112"/>
  <c r="A1113"/>
  <c r="A1114"/>
  <c r="A1115"/>
  <c r="A1116"/>
  <c r="A1117"/>
  <c r="A1118"/>
  <c r="A1119"/>
  <c r="A1120"/>
  <c r="A1121"/>
  <c r="A1122"/>
  <c r="A1123"/>
  <c r="A1124"/>
  <c r="A1125"/>
  <c r="A1126"/>
  <c r="A1127"/>
  <c r="A1128"/>
  <c r="A1129"/>
  <c r="A1130"/>
  <c r="A1131"/>
  <c r="A1132"/>
  <c r="A1133"/>
  <c r="A1134"/>
  <c r="A1135"/>
  <c r="A1136"/>
  <c r="A1137"/>
  <c r="A1138"/>
  <c r="A1139"/>
  <c r="A1140"/>
  <c r="A1141"/>
  <c r="A1142"/>
  <c r="A1143"/>
  <c r="A1144"/>
  <c r="A1145"/>
  <c r="A1146"/>
  <c r="A1147"/>
  <c r="A1148"/>
  <c r="A1149"/>
  <c r="A1150"/>
  <c r="A1151"/>
  <c r="A1152"/>
  <c r="A1153"/>
  <c r="A1154"/>
  <c r="A1155"/>
  <c r="A1156"/>
  <c r="A1157"/>
  <c r="A1158"/>
  <c r="A1159"/>
  <c r="A1160"/>
  <c r="A1161"/>
  <c r="A1162"/>
  <c r="A1163"/>
  <c r="A1164"/>
  <c r="A1165"/>
  <c r="A1166"/>
  <c r="A1167"/>
  <c r="A1168"/>
  <c r="A1169"/>
  <c r="A1170"/>
  <c r="A1171"/>
  <c r="A1172"/>
  <c r="A1173"/>
  <c r="A1174"/>
  <c r="A1175"/>
  <c r="A1176"/>
  <c r="A1177"/>
  <c r="A1178"/>
  <c r="A1179"/>
  <c r="A1180"/>
  <c r="A1181"/>
  <c r="A1182"/>
  <c r="A1183"/>
  <c r="A1184"/>
  <c r="A1185"/>
  <c r="A1186"/>
  <c r="A1187"/>
  <c r="A1188"/>
  <c r="A1189"/>
  <c r="A1190"/>
  <c r="A1191"/>
  <c r="A1192"/>
  <c r="A1193"/>
  <c r="A1194"/>
  <c r="A1195"/>
  <c r="A1196"/>
  <c r="A1197"/>
  <c r="A1198"/>
  <c r="A1199"/>
  <c r="A1200"/>
  <c r="A1201"/>
  <c r="A1202"/>
  <c r="A1203"/>
  <c r="A1204"/>
  <c r="A1205"/>
  <c r="A1206"/>
  <c r="A1207"/>
  <c r="A1208"/>
  <c r="A1209"/>
  <c r="A1210"/>
  <c r="A1211"/>
  <c r="A1212"/>
  <c r="A1213"/>
  <c r="A1214"/>
  <c r="A1215"/>
  <c r="A1216"/>
  <c r="A1217"/>
  <c r="A1218"/>
  <c r="A1219"/>
  <c r="A1220"/>
  <c r="A1221"/>
  <c r="A1222"/>
  <c r="A1223"/>
  <c r="A1224"/>
  <c r="A1225"/>
  <c r="A1226"/>
  <c r="A1227"/>
  <c r="A1228"/>
  <c r="A1229"/>
  <c r="A1230"/>
  <c r="A1231"/>
  <c r="A1232"/>
  <c r="A1233"/>
  <c r="A1234"/>
  <c r="A1235"/>
  <c r="A1236"/>
  <c r="A1237"/>
  <c r="A1238"/>
  <c r="A1239"/>
  <c r="A1240"/>
  <c r="A1241"/>
  <c r="A1242"/>
  <c r="A1243"/>
  <c r="A1244"/>
  <c r="A1245"/>
  <c r="A1246"/>
  <c r="A1247"/>
  <c r="A1248"/>
  <c r="A1249"/>
  <c r="A1250"/>
  <c r="A1251"/>
  <c r="A1252"/>
  <c r="A1253"/>
  <c r="A1254"/>
  <c r="A1255"/>
  <c r="A1256"/>
  <c r="A1257"/>
  <c r="A1258"/>
  <c r="A1259"/>
  <c r="A1260"/>
  <c r="A1261"/>
  <c r="A1262"/>
  <c r="A1263"/>
  <c r="A1264"/>
  <c r="A1265"/>
  <c r="A1266"/>
  <c r="A1267"/>
  <c r="A1268"/>
  <c r="A1269"/>
  <c r="A1270"/>
  <c r="A1271"/>
  <c r="A1272"/>
  <c r="A1273"/>
  <c r="A1274"/>
  <c r="A1275"/>
  <c r="B4" i="9"/>
  <c r="B4" i="3"/>
  <c r="B4" i="2"/>
  <c r="K11" i="1" l="1"/>
  <c r="J11"/>
  <c r="I12"/>
  <c r="I13" s="1"/>
  <c r="B2" i="7"/>
  <c r="M12" i="1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11"/>
  <c r="A12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6"/>
  <c r="B10" i="7" l="1"/>
  <c r="K13" i="1"/>
  <c r="J13"/>
  <c r="I14"/>
  <c r="K12"/>
  <c r="L11"/>
  <c r="B11" s="1"/>
  <c r="J12"/>
  <c r="B8"/>
  <c r="P15" l="1"/>
  <c r="N30"/>
  <c r="F25"/>
  <c r="P24"/>
  <c r="C17"/>
  <c r="O20"/>
  <c r="F35"/>
  <c r="F29"/>
  <c r="P18"/>
  <c r="F16"/>
  <c r="C31"/>
  <c r="C14"/>
  <c r="C21"/>
  <c r="D27"/>
  <c r="O34"/>
  <c r="E11"/>
  <c r="Q28"/>
  <c r="B33" i="9"/>
  <c r="B1" i="10"/>
  <c r="B1" i="2"/>
  <c r="B1" i="3"/>
  <c r="B8"/>
  <c r="B3" i="1"/>
  <c r="G18"/>
  <c r="C30"/>
  <c r="C39"/>
  <c r="N24"/>
  <c r="G27"/>
  <c r="Q30"/>
  <c r="P11"/>
  <c r="P22"/>
  <c r="Q23"/>
  <c r="E22"/>
  <c r="F37"/>
  <c r="E17"/>
  <c r="E27"/>
  <c r="E36"/>
  <c r="O36"/>
  <c r="L12"/>
  <c r="B12" s="1"/>
  <c r="L13"/>
  <c r="B13" s="1"/>
  <c r="F19"/>
  <c r="D24"/>
  <c r="G25"/>
  <c r="D26"/>
  <c r="G29"/>
  <c r="D30"/>
  <c r="G39"/>
  <c r="D39"/>
  <c r="G16"/>
  <c r="G21"/>
  <c r="P33"/>
  <c r="Q37"/>
  <c r="Q12"/>
  <c r="O18"/>
  <c r="O33"/>
  <c r="G34"/>
  <c r="E38"/>
  <c r="N32"/>
  <c r="E29"/>
  <c r="N23"/>
  <c r="E39"/>
  <c r="G17"/>
  <c r="D18"/>
  <c r="D22"/>
  <c r="E25"/>
  <c r="P17"/>
  <c r="Q21"/>
  <c r="O27"/>
  <c r="P31"/>
  <c r="Q27"/>
  <c r="G30"/>
  <c r="F31"/>
  <c r="E34"/>
  <c r="D36"/>
  <c r="N27"/>
  <c r="G11"/>
  <c r="E24"/>
  <c r="C12"/>
  <c r="N36"/>
  <c r="F20"/>
  <c r="E33"/>
  <c r="C16"/>
  <c r="G12"/>
  <c r="F24"/>
  <c r="D13"/>
  <c r="C25"/>
  <c r="E31"/>
  <c r="E20"/>
  <c r="F12"/>
  <c r="C29"/>
  <c r="P13"/>
  <c r="O16"/>
  <c r="Q17"/>
  <c r="P20"/>
  <c r="O23"/>
  <c r="Q24"/>
  <c r="P27"/>
  <c r="O30"/>
  <c r="N26"/>
  <c r="Q31"/>
  <c r="O29"/>
  <c r="N38"/>
  <c r="G26"/>
  <c r="F11"/>
  <c r="F27"/>
  <c r="E14"/>
  <c r="E30"/>
  <c r="D16"/>
  <c r="D32"/>
  <c r="C22"/>
  <c r="C38"/>
  <c r="G15"/>
  <c r="G36"/>
  <c r="F26"/>
  <c r="E19"/>
  <c r="D15"/>
  <c r="D37"/>
  <c r="C28"/>
  <c r="N31"/>
  <c r="G19"/>
  <c r="F14"/>
  <c r="F36"/>
  <c r="E28"/>
  <c r="D19"/>
  <c r="D11"/>
  <c r="C32"/>
  <c r="N35"/>
  <c r="G28"/>
  <c r="F18"/>
  <c r="E16"/>
  <c r="E37"/>
  <c r="D29"/>
  <c r="C20"/>
  <c r="C11"/>
  <c r="F38"/>
  <c r="C35"/>
  <c r="F28"/>
  <c r="C24"/>
  <c r="N33"/>
  <c r="G32"/>
  <c r="D17"/>
  <c r="Q22"/>
  <c r="Q38"/>
  <c r="P25"/>
  <c r="O12"/>
  <c r="O28"/>
  <c r="Q13"/>
  <c r="Q29"/>
  <c r="P16"/>
  <c r="P32"/>
  <c r="O19"/>
  <c r="O35"/>
  <c r="Q20"/>
  <c r="Q36"/>
  <c r="P23"/>
  <c r="P39"/>
  <c r="O26"/>
  <c r="Q19"/>
  <c r="O25"/>
  <c r="P30"/>
  <c r="O13"/>
  <c r="O21"/>
  <c r="P26"/>
  <c r="Q39"/>
  <c r="G14"/>
  <c r="F15"/>
  <c r="E18"/>
  <c r="D20"/>
  <c r="C26"/>
  <c r="G20"/>
  <c r="F32"/>
  <c r="D21"/>
  <c r="C33"/>
  <c r="G24"/>
  <c r="E12"/>
  <c r="D25"/>
  <c r="C37"/>
  <c r="G33"/>
  <c r="E21"/>
  <c r="D34"/>
  <c r="N39"/>
  <c r="N28"/>
  <c r="F22"/>
  <c r="E15"/>
  <c r="Q26"/>
  <c r="P29"/>
  <c r="O32"/>
  <c r="Q33"/>
  <c r="P36"/>
  <c r="O39"/>
  <c r="Q11"/>
  <c r="O14"/>
  <c r="Q35"/>
  <c r="O17"/>
  <c r="O37"/>
  <c r="Q15"/>
  <c r="N34"/>
  <c r="G22"/>
  <c r="G38"/>
  <c r="F23"/>
  <c r="F39"/>
  <c r="E26"/>
  <c r="D12"/>
  <c r="D28"/>
  <c r="C18"/>
  <c r="C34"/>
  <c r="N37"/>
  <c r="G31"/>
  <c r="F21"/>
  <c r="E13"/>
  <c r="E35"/>
  <c r="D31"/>
  <c r="C23"/>
  <c r="N25"/>
  <c r="G13"/>
  <c r="G35"/>
  <c r="F30"/>
  <c r="E23"/>
  <c r="D14"/>
  <c r="D35"/>
  <c r="C27"/>
  <c r="N29"/>
  <c r="G23"/>
  <c r="F13"/>
  <c r="F34"/>
  <c r="E32"/>
  <c r="D23"/>
  <c r="C15"/>
  <c r="C36"/>
  <c r="F17"/>
  <c r="C13"/>
  <c r="G37"/>
  <c r="D33"/>
  <c r="C19"/>
  <c r="D38"/>
  <c r="F33"/>
  <c r="Q18"/>
  <c r="Q34"/>
  <c r="P21"/>
  <c r="P37"/>
  <c r="O24"/>
  <c r="O11"/>
  <c r="Q25"/>
  <c r="P12"/>
  <c r="P28"/>
  <c r="O15"/>
  <c r="O31"/>
  <c r="Q16"/>
  <c r="Q32"/>
  <c r="P19"/>
  <c r="P35"/>
  <c r="O22"/>
  <c r="O38"/>
  <c r="P38"/>
  <c r="P14"/>
  <c r="Q14"/>
  <c r="P34"/>
  <c r="I15"/>
  <c r="J14"/>
  <c r="K14"/>
  <c r="B1" i="7" l="1"/>
  <c r="D8" i="3" s="1"/>
  <c r="I16" i="1"/>
  <c r="K15"/>
  <c r="J15"/>
  <c r="L14"/>
  <c r="B14" s="1"/>
  <c r="C8" i="3" l="1"/>
  <c r="L15" i="1"/>
  <c r="B15" s="1"/>
  <c r="I17"/>
  <c r="K16"/>
  <c r="J16"/>
  <c r="L16" l="1"/>
  <c r="B16" s="1"/>
  <c r="I18"/>
  <c r="K17"/>
  <c r="J17"/>
  <c r="L17" l="1"/>
  <c r="B17" s="1"/>
  <c r="I19"/>
  <c r="J18"/>
  <c r="K18"/>
  <c r="I20" l="1"/>
  <c r="K19"/>
  <c r="J19"/>
  <c r="L18"/>
  <c r="B18" s="1"/>
  <c r="L19" l="1"/>
  <c r="B19" s="1"/>
  <c r="I21"/>
  <c r="J20"/>
  <c r="K20"/>
  <c r="I22" l="1"/>
  <c r="J21"/>
  <c r="K21"/>
  <c r="L20"/>
  <c r="B20" s="1"/>
  <c r="I23" l="1"/>
  <c r="J22"/>
  <c r="K22"/>
  <c r="L21"/>
  <c r="B21" s="1"/>
  <c r="I24" l="1"/>
  <c r="K23"/>
  <c r="J23"/>
  <c r="L22"/>
  <c r="B22" s="1"/>
  <c r="L23" l="1"/>
  <c r="B23" s="1"/>
  <c r="I25"/>
  <c r="K24"/>
  <c r="J24"/>
  <c r="L24" s="1"/>
  <c r="B24" s="1"/>
  <c r="I26" l="1"/>
  <c r="K25"/>
  <c r="J25"/>
  <c r="I27" l="1"/>
  <c r="J26"/>
  <c r="K26"/>
  <c r="L25"/>
  <c r="B25" s="1"/>
  <c r="L26" l="1"/>
  <c r="B26" s="1"/>
  <c r="I28"/>
  <c r="K27"/>
  <c r="J27"/>
  <c r="I29" l="1"/>
  <c r="J28"/>
  <c r="K28"/>
  <c r="L27"/>
  <c r="B27" s="1"/>
  <c r="L28" l="1"/>
  <c r="B28" s="1"/>
  <c r="I30"/>
  <c r="J29"/>
  <c r="K29"/>
  <c r="L29" l="1"/>
  <c r="B29" s="1"/>
  <c r="I31"/>
  <c r="J30"/>
  <c r="K30"/>
  <c r="L30" l="1"/>
  <c r="B30" s="1"/>
  <c r="I32"/>
  <c r="K31"/>
  <c r="J31"/>
  <c r="I33" l="1"/>
  <c r="J32"/>
  <c r="L32" s="1"/>
  <c r="B32" s="1"/>
  <c r="K32"/>
  <c r="L31"/>
  <c r="B31" s="1"/>
  <c r="I34" l="1"/>
  <c r="K33"/>
  <c r="J33"/>
  <c r="I35" l="1"/>
  <c r="J34"/>
  <c r="K34"/>
  <c r="L33"/>
  <c r="B33" s="1"/>
  <c r="L34" l="1"/>
  <c r="B34" s="1"/>
  <c r="I36"/>
  <c r="K35"/>
  <c r="J35"/>
  <c r="I37" l="1"/>
  <c r="J36"/>
  <c r="L36" s="1"/>
  <c r="B36" s="1"/>
  <c r="K36"/>
  <c r="L35"/>
  <c r="B35" s="1"/>
  <c r="I38" l="1"/>
  <c r="J37"/>
  <c r="K37"/>
  <c r="L37" l="1"/>
  <c r="B37" s="1"/>
  <c r="I39"/>
  <c r="J38"/>
  <c r="L38" s="1"/>
  <c r="B38" s="1"/>
  <c r="K38"/>
  <c r="B5" l="1"/>
  <c r="K39"/>
  <c r="J39"/>
  <c r="L39" l="1"/>
  <c r="B39" s="1"/>
</calcChain>
</file>

<file path=xl/sharedStrings.xml><?xml version="1.0" encoding="utf-8"?>
<sst xmlns="http://schemas.openxmlformats.org/spreadsheetml/2006/main" count="3915" uniqueCount="141">
  <si>
    <t>Scot</t>
  </si>
  <si>
    <t>Scotland</t>
  </si>
  <si>
    <t>S08000015</t>
  </si>
  <si>
    <t>NHS Ayrshire and Arran</t>
  </si>
  <si>
    <t>S08000016</t>
  </si>
  <si>
    <t>NHS Borders</t>
  </si>
  <si>
    <t>S08000017</t>
  </si>
  <si>
    <t>NHS Dumfries and Galloway</t>
  </si>
  <si>
    <t>S08000029</t>
  </si>
  <si>
    <t>NHS Fife</t>
  </si>
  <si>
    <t>S08000019</t>
  </si>
  <si>
    <t>NHS Forth Valley</t>
  </si>
  <si>
    <t>S08000020</t>
  </si>
  <si>
    <t>NHS Grampian</t>
  </si>
  <si>
    <t>S08000021</t>
  </si>
  <si>
    <t>NHS Greater Glasgow and Clyde</t>
  </si>
  <si>
    <t>S08000022</t>
  </si>
  <si>
    <t>NHS Highland</t>
  </si>
  <si>
    <t>S08000023</t>
  </si>
  <si>
    <t>NHS Lanarkshire</t>
  </si>
  <si>
    <t>S08000024</t>
  </si>
  <si>
    <t>NHS Lothian</t>
  </si>
  <si>
    <t>S08000025</t>
  </si>
  <si>
    <t>NHS Orkney</t>
  </si>
  <si>
    <t>S08000026</t>
  </si>
  <si>
    <t>NHS Shetland</t>
  </si>
  <si>
    <t>S08000030</t>
  </si>
  <si>
    <t>NHS Tayside</t>
  </si>
  <si>
    <t>S08000028</t>
  </si>
  <si>
    <t>NHS Western Isles</t>
  </si>
  <si>
    <t>S08100001</t>
  </si>
  <si>
    <t>Golden Jubilee</t>
  </si>
  <si>
    <t>Mortality within 30-days of admission</t>
  </si>
  <si>
    <t>Quarter</t>
  </si>
  <si>
    <t>Observed deaths      (30 days)</t>
  </si>
  <si>
    <t>Predicted deaths      (30 days)</t>
  </si>
  <si>
    <t>Standardised Mortality Ratio (SMR)</t>
  </si>
  <si>
    <t>Number of    patients</t>
  </si>
  <si>
    <t>Crude Mortality Rate (%)</t>
  </si>
  <si>
    <t>Baseline Scottish SMR</t>
  </si>
  <si>
    <t>Regression line</t>
  </si>
  <si>
    <t>P = provisional (see main report Appendix A1 - Data Quality and Timeliness).</t>
  </si>
  <si>
    <t>Scotland observed deaths (30 days)</t>
  </si>
  <si>
    <t>Scotland predicted deaths (30 days)</t>
  </si>
  <si>
    <t>Scottish SMR</t>
  </si>
  <si>
    <t>SMR</t>
  </si>
  <si>
    <t xml:space="preserve">Overall Change Since Jan-Mar 14 </t>
  </si>
  <si>
    <t>1. A regression line through data points from January to March 2014, to the current HSMR is used to smooth out seasonal variations in HSMR and to monitor long term change.</t>
  </si>
  <si>
    <t>Jan-Mar</t>
  </si>
  <si>
    <t>Apr-Jun</t>
  </si>
  <si>
    <t>Jul-Sep</t>
  </si>
  <si>
    <t>Oct-Dec</t>
  </si>
  <si>
    <t>March</t>
  </si>
  <si>
    <t>June</t>
  </si>
  <si>
    <t>September</t>
  </si>
  <si>
    <t>December</t>
  </si>
  <si>
    <t>quarter</t>
  </si>
  <si>
    <t>deaths</t>
  </si>
  <si>
    <t>pred</t>
  </si>
  <si>
    <t>pats</t>
  </si>
  <si>
    <t>smr</t>
  </si>
  <si>
    <t>crd_rate</t>
  </si>
  <si>
    <t>location_type</t>
  </si>
  <si>
    <t>location</t>
  </si>
  <si>
    <t>location_name</t>
  </si>
  <si>
    <t>quarter_reg</t>
  </si>
  <si>
    <t>reg</t>
  </si>
  <si>
    <t>hospital</t>
  </si>
  <si>
    <t>A111H</t>
  </si>
  <si>
    <t>University Hospital Crosshouse</t>
  </si>
  <si>
    <t>A210H</t>
  </si>
  <si>
    <t>University Hospital Ayr</t>
  </si>
  <si>
    <t>B120H</t>
  </si>
  <si>
    <t>Borders General Hospital</t>
  </si>
  <si>
    <t>C121H</t>
  </si>
  <si>
    <t>Lorn &amp; Islands Hospital</t>
  </si>
  <si>
    <t>C313H</t>
  </si>
  <si>
    <t>Inverclyde Royal Hospital</t>
  </si>
  <si>
    <t>C418H</t>
  </si>
  <si>
    <t>Royal Alexandra Hospital / Vale of Leven</t>
  </si>
  <si>
    <t>D102H</t>
  </si>
  <si>
    <t>Golden Jubilee National Hospital</t>
  </si>
  <si>
    <t>F704H</t>
  </si>
  <si>
    <t>Victoria Hospital / Queen Margaret Hospital / Forth Park Hospital</t>
  </si>
  <si>
    <t>G107H</t>
  </si>
  <si>
    <t>Glasgow Royal Infirmary / Stobhill</t>
  </si>
  <si>
    <t>G405H</t>
  </si>
  <si>
    <t>Queen Elizabeth University Hospital / Gartnavel</t>
  </si>
  <si>
    <t>H103H</t>
  </si>
  <si>
    <t>Caithness General Hospital</t>
  </si>
  <si>
    <t>H202H</t>
  </si>
  <si>
    <t>Raigmore Hospital</t>
  </si>
  <si>
    <t>H212H</t>
  </si>
  <si>
    <t>Belford Hospital</t>
  </si>
  <si>
    <t>L106H</t>
  </si>
  <si>
    <t>University Hospital Monklands</t>
  </si>
  <si>
    <t>L302H</t>
  </si>
  <si>
    <t>University Hospital Hairmyres</t>
  </si>
  <si>
    <t>L308H</t>
  </si>
  <si>
    <t>University Hospital Wishaw</t>
  </si>
  <si>
    <t>N101H</t>
  </si>
  <si>
    <t>Aberdeen Royal Infirmary</t>
  </si>
  <si>
    <t>N411H</t>
  </si>
  <si>
    <t>Dr Gray's Hospital</t>
  </si>
  <si>
    <t>R101H</t>
  </si>
  <si>
    <t>Balfour Hospital</t>
  </si>
  <si>
    <t>S116H</t>
  </si>
  <si>
    <t>Western General Hospital</t>
  </si>
  <si>
    <t>S308H</t>
  </si>
  <si>
    <t>St John's Hospital</t>
  </si>
  <si>
    <t>S314H</t>
  </si>
  <si>
    <t>Royal Infirmary of Edinburgh at Little France</t>
  </si>
  <si>
    <t>T101H</t>
  </si>
  <si>
    <t>Ninewells Hospital</t>
  </si>
  <si>
    <t>T202H</t>
  </si>
  <si>
    <t>Perth Royal Infirmary</t>
  </si>
  <si>
    <t>T312H</t>
  </si>
  <si>
    <t>Stracathro Hospital</t>
  </si>
  <si>
    <t>V217H</t>
  </si>
  <si>
    <t>Forth Valley Royal Hospital</t>
  </si>
  <si>
    <t>W107H</t>
  </si>
  <si>
    <t>Western Isles Hospital</t>
  </si>
  <si>
    <t>Z102H</t>
  </si>
  <si>
    <t>Gilbert Bain Hospital</t>
  </si>
  <si>
    <t>Y146H</t>
  </si>
  <si>
    <t>Dumfries &amp; Galloway Royal Infirmary</t>
  </si>
  <si>
    <t>NHS Board</t>
  </si>
  <si>
    <t>S08000018</t>
  </si>
  <si>
    <t>S08000027</t>
  </si>
  <si>
    <t>National Facility</t>
  </si>
  <si>
    <t>loc_quarter</t>
  </si>
  <si>
    <t>smr_data rows</t>
  </si>
  <si>
    <t>smr_data columns</t>
  </si>
  <si>
    <t>smr_data quarter</t>
  </si>
  <si>
    <t>Table1 quarter</t>
  </si>
  <si>
    <t>Qtrs_from_Start</t>
  </si>
  <si>
    <t>Qtr_within_Year</t>
  </si>
  <si>
    <t>Year</t>
  </si>
  <si>
    <r>
      <t xml:space="preserve">Source: ISD Scotland (SMR01) linked dataset. Reflects the completeness of SMR01 submissions to ISD for individual hospitals as of </t>
    </r>
    <r>
      <rPr>
        <b/>
        <sz val="8"/>
        <color rgb="FFFF0000"/>
        <rFont val="Arial"/>
        <family val="2"/>
      </rPr>
      <t>12th October 2018</t>
    </r>
    <r>
      <rPr>
        <b/>
        <sz val="8"/>
        <rFont val="Arial"/>
        <family val="2"/>
      </rPr>
      <t>.</t>
    </r>
  </si>
  <si>
    <r>
      <t>Source: ISD Scotland (SMR01) linked dataset. Reflects the completeness of SMR01 submissions to ISD for individual hospitals as of</t>
    </r>
    <r>
      <rPr>
        <b/>
        <sz val="8"/>
        <color rgb="FFFF0000"/>
        <rFont val="Arial"/>
        <family val="2"/>
      </rPr>
      <t xml:space="preserve"> 12th October 2018</t>
    </r>
    <r>
      <rPr>
        <b/>
        <sz val="8"/>
        <rFont val="Arial"/>
        <family val="2"/>
      </rPr>
      <t>.</t>
    </r>
  </si>
  <si>
    <t>Quarterly Hospital Standardised Mortality Ratios in Scotland</t>
  </si>
</sst>
</file>

<file path=xl/styles.xml><?xml version="1.0" encoding="utf-8"?>
<styleSheet xmlns="http://schemas.openxmlformats.org/spreadsheetml/2006/main">
  <numFmts count="4">
    <numFmt numFmtId="164" formatCode="#.00"/>
    <numFmt numFmtId="165" formatCode="0.0"/>
    <numFmt numFmtId="166" formatCode="0.00000"/>
    <numFmt numFmtId="167" formatCode="0.0%"/>
  </numFmts>
  <fonts count="24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ourier"/>
      <family val="3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11"/>
      <color indexed="23"/>
      <name val="Arial"/>
      <family val="2"/>
    </font>
    <font>
      <b/>
      <sz val="8"/>
      <color indexed="63"/>
      <name val="Arial"/>
      <family val="2"/>
    </font>
    <font>
      <b/>
      <sz val="10"/>
      <color indexed="23"/>
      <name val="Arial"/>
      <family val="2"/>
    </font>
    <font>
      <b/>
      <sz val="8"/>
      <color indexed="8"/>
      <name val="Arial"/>
      <family val="2"/>
    </font>
    <font>
      <sz val="8"/>
      <name val="Courier"/>
      <family val="3"/>
    </font>
    <font>
      <sz val="8"/>
      <color indexed="63"/>
      <name val="Arial"/>
      <family val="2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11"/>
      <name val="Arial"/>
      <family val="2"/>
    </font>
    <font>
      <sz val="8"/>
      <color indexed="8"/>
      <name val="Arial"/>
      <family val="2"/>
    </font>
    <font>
      <sz val="11"/>
      <name val="Calibri"/>
      <family val="2"/>
      <scheme val="minor"/>
    </font>
    <font>
      <b/>
      <sz val="8"/>
      <color theme="0"/>
      <name val="Arial"/>
      <family val="2"/>
    </font>
    <font>
      <b/>
      <sz val="8"/>
      <color rgb="FFFF0000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10" fillId="0" borderId="0"/>
    <xf numFmtId="0" fontId="10" fillId="0" borderId="0"/>
    <xf numFmtId="0" fontId="3" fillId="0" borderId="0"/>
    <xf numFmtId="9" fontId="3" fillId="0" borderId="0" applyFont="0" applyFill="0" applyBorder="0" applyAlignment="0" applyProtection="0"/>
  </cellStyleXfs>
  <cellXfs count="51">
    <xf numFmtId="0" fontId="0" fillId="0" borderId="0" xfId="0"/>
    <xf numFmtId="0" fontId="2" fillId="0" borderId="0" xfId="1" applyNumberFormat="1" applyAlignment="1" applyProtection="1">
      <alignment horizontal="left"/>
      <protection locked="0"/>
    </xf>
    <xf numFmtId="0" fontId="10" fillId="0" borderId="0" xfId="1" applyNumberFormat="1" applyFont="1" applyAlignment="1" applyProtection="1">
      <alignment horizontal="left"/>
      <protection locked="0"/>
    </xf>
    <xf numFmtId="0" fontId="10" fillId="0" borderId="0" xfId="2" applyNumberFormat="1" applyAlignment="1" applyProtection="1">
      <alignment horizontal="left"/>
      <protection locked="0"/>
    </xf>
    <xf numFmtId="0" fontId="0" fillId="0" borderId="0" xfId="0" applyFill="1"/>
    <xf numFmtId="0" fontId="6" fillId="0" borderId="0" xfId="4" applyFont="1" applyFill="1" applyAlignment="1">
      <alignment horizontal="left"/>
    </xf>
    <xf numFmtId="0" fontId="6" fillId="0" borderId="0" xfId="4" applyFont="1" applyFill="1" applyAlignment="1">
      <alignment horizontal="left" wrapText="1"/>
    </xf>
    <xf numFmtId="0" fontId="13" fillId="0" borderId="0" xfId="4" applyFont="1" applyFill="1" applyAlignment="1">
      <alignment horizontal="left" wrapText="1"/>
    </xf>
    <xf numFmtId="0" fontId="1" fillId="0" borderId="0" xfId="0" applyFont="1" applyFill="1"/>
    <xf numFmtId="0" fontId="8" fillId="0" borderId="0" xfId="4" applyFont="1" applyFill="1"/>
    <xf numFmtId="0" fontId="12" fillId="0" borderId="0" xfId="4" applyFont="1" applyFill="1"/>
    <xf numFmtId="0" fontId="15" fillId="0" borderId="1" xfId="0" applyFont="1" applyFill="1" applyBorder="1"/>
    <xf numFmtId="0" fontId="0" fillId="0" borderId="1" xfId="0" applyFill="1" applyBorder="1"/>
    <xf numFmtId="0" fontId="7" fillId="0" borderId="0" xfId="2" applyNumberFormat="1" applyFont="1" applyFill="1" applyAlignment="1" applyProtection="1">
      <alignment horizontal="left"/>
      <protection locked="0"/>
    </xf>
    <xf numFmtId="164" fontId="7" fillId="0" borderId="0" xfId="2" applyNumberFormat="1" applyFont="1" applyFill="1" applyAlignment="1" applyProtection="1">
      <alignment horizontal="right" wrapText="1"/>
      <protection locked="0"/>
    </xf>
    <xf numFmtId="0" fontId="11" fillId="0" borderId="0" xfId="2" applyNumberFormat="1" applyFont="1" applyFill="1" applyAlignment="1" applyProtection="1">
      <protection locked="0"/>
    </xf>
    <xf numFmtId="1" fontId="14" fillId="0" borderId="0" xfId="0" applyNumberFormat="1" applyFont="1" applyFill="1"/>
    <xf numFmtId="2" fontId="14" fillId="0" borderId="0" xfId="0" applyNumberFormat="1" applyFont="1" applyFill="1"/>
    <xf numFmtId="3" fontId="14" fillId="0" borderId="0" xfId="0" applyNumberFormat="1" applyFont="1" applyFill="1"/>
    <xf numFmtId="165" fontId="14" fillId="0" borderId="0" xfId="0" applyNumberFormat="1" applyFont="1" applyFill="1"/>
    <xf numFmtId="0" fontId="4" fillId="0" borderId="0" xfId="4" applyFont="1" applyFill="1" applyAlignment="1">
      <alignment vertical="center"/>
    </xf>
    <xf numFmtId="0" fontId="9" fillId="0" borderId="0" xfId="4" applyFont="1" applyFill="1"/>
    <xf numFmtId="0" fontId="16" fillId="0" borderId="0" xfId="4" applyFont="1" applyFill="1" applyAlignment="1">
      <alignment horizontal="left"/>
    </xf>
    <xf numFmtId="2" fontId="17" fillId="0" borderId="8" xfId="4" applyNumberFormat="1" applyFont="1" applyFill="1" applyBorder="1" applyAlignment="1">
      <alignment horizontal="left" wrapText="1"/>
    </xf>
    <xf numFmtId="2" fontId="17" fillId="0" borderId="8" xfId="4" applyNumberFormat="1" applyFont="1" applyFill="1" applyBorder="1" applyAlignment="1">
      <alignment horizontal="center" wrapText="1"/>
    </xf>
    <xf numFmtId="0" fontId="5" fillId="0" borderId="0" xfId="4" applyFont="1" applyFill="1"/>
    <xf numFmtId="0" fontId="18" fillId="0" borderId="0" xfId="0" applyFont="1"/>
    <xf numFmtId="0" fontId="19" fillId="0" borderId="0" xfId="4" applyFont="1" applyFill="1" applyAlignment="1">
      <alignment horizontal="center" wrapText="1"/>
    </xf>
    <xf numFmtId="0" fontId="19" fillId="0" borderId="0" xfId="4" applyFont="1" applyFill="1" applyAlignment="1">
      <alignment horizontal="center"/>
    </xf>
    <xf numFmtId="0" fontId="6" fillId="0" borderId="0" xfId="4" applyFont="1" applyFill="1" applyAlignment="1">
      <alignment wrapText="1"/>
    </xf>
    <xf numFmtId="2" fontId="4" fillId="2" borderId="2" xfId="4" applyNumberFormat="1" applyFont="1" applyFill="1" applyBorder="1" applyAlignment="1">
      <alignment horizontal="center" vertical="center"/>
    </xf>
    <xf numFmtId="2" fontId="17" fillId="2" borderId="5" xfId="4" applyNumberFormat="1" applyFont="1" applyFill="1" applyBorder="1" applyAlignment="1">
      <alignment horizontal="center" vertical="center"/>
    </xf>
    <xf numFmtId="0" fontId="21" fillId="0" borderId="0" xfId="4" applyFont="1" applyFill="1"/>
    <xf numFmtId="0" fontId="13" fillId="0" borderId="0" xfId="4" applyFont="1" applyFill="1" applyAlignment="1">
      <alignment wrapText="1"/>
    </xf>
    <xf numFmtId="0" fontId="22" fillId="0" borderId="0" xfId="0" applyFont="1" applyFill="1" applyAlignment="1">
      <alignment horizontal="center"/>
    </xf>
    <xf numFmtId="0" fontId="19" fillId="0" borderId="0" xfId="4" applyFont="1" applyFill="1" applyAlignment="1">
      <alignment horizontal="right" wrapText="1"/>
    </xf>
    <xf numFmtId="164" fontId="19" fillId="0" borderId="0" xfId="2" applyNumberFormat="1" applyFont="1" applyFill="1" applyAlignment="1" applyProtection="1">
      <alignment horizontal="right" wrapText="1"/>
      <protection locked="0"/>
    </xf>
    <xf numFmtId="0" fontId="19" fillId="0" borderId="0" xfId="4" applyFont="1" applyFill="1" applyAlignment="1">
      <alignment horizontal="right"/>
    </xf>
    <xf numFmtId="2" fontId="22" fillId="0" borderId="0" xfId="0" applyNumberFormat="1" applyFont="1" applyFill="1"/>
    <xf numFmtId="166" fontId="22" fillId="0" borderId="0" xfId="0" applyNumberFormat="1" applyFont="1" applyFill="1"/>
    <xf numFmtId="1" fontId="22" fillId="0" borderId="0" xfId="0" applyNumberFormat="1" applyFont="1" applyFill="1"/>
    <xf numFmtId="0" fontId="23" fillId="0" borderId="0" xfId="4" applyFont="1" applyFill="1" applyAlignment="1">
      <alignment horizontal="left"/>
    </xf>
    <xf numFmtId="0" fontId="6" fillId="0" borderId="0" xfId="4" applyFont="1" applyFill="1" applyAlignment="1">
      <alignment horizontal="left" wrapText="1"/>
    </xf>
    <xf numFmtId="0" fontId="6" fillId="0" borderId="0" xfId="4" applyFont="1" applyFill="1" applyAlignment="1">
      <alignment horizontal="left" wrapText="1"/>
    </xf>
    <xf numFmtId="0" fontId="4" fillId="2" borderId="3" xfId="4" applyFont="1" applyFill="1" applyBorder="1" applyAlignment="1">
      <alignment horizontal="center" vertical="center" wrapText="1"/>
    </xf>
    <xf numFmtId="0" fontId="4" fillId="2" borderId="6" xfId="4" applyFont="1" applyFill="1" applyBorder="1" applyAlignment="1">
      <alignment horizontal="center" vertical="center" wrapText="1"/>
    </xf>
    <xf numFmtId="1" fontId="4" fillId="2" borderId="2" xfId="4" applyNumberFormat="1" applyFont="1" applyFill="1" applyBorder="1" applyAlignment="1">
      <alignment horizontal="center" wrapText="1"/>
    </xf>
    <xf numFmtId="0" fontId="0" fillId="2" borderId="4" xfId="0" applyFill="1" applyBorder="1" applyAlignment="1">
      <alignment wrapText="1"/>
    </xf>
    <xf numFmtId="0" fontId="0" fillId="2" borderId="5" xfId="0" applyFill="1" applyBorder="1" applyAlignment="1">
      <alignment wrapText="1"/>
    </xf>
    <xf numFmtId="0" fontId="0" fillId="2" borderId="7" xfId="0" applyFill="1" applyBorder="1" applyAlignment="1">
      <alignment wrapText="1"/>
    </xf>
    <xf numFmtId="167" fontId="17" fillId="0" borderId="9" xfId="5" applyNumberFormat="1" applyFont="1" applyFill="1" applyBorder="1" applyAlignment="1">
      <alignment horizontal="center" wrapText="1"/>
    </xf>
  </cellXfs>
  <cellStyles count="6">
    <cellStyle name="Normal" xfId="0" builtinId="0"/>
    <cellStyle name="Normal 2" xfId="2"/>
    <cellStyle name="Normal 3" xfId="3"/>
    <cellStyle name="Normal 4" xfId="1"/>
    <cellStyle name="Normal_Book1" xfId="4"/>
    <cellStyle name="Percent 2" xfId="5"/>
  </cellStyles>
  <dxfs count="0"/>
  <tableStyles count="0" defaultTableStyle="TableStyleMedium9" defaultPivotStyle="PivotStyleLight16"/>
  <colors>
    <mruColors>
      <color rgb="FFBFBFBF"/>
      <color rgb="FF99CCFF"/>
      <color rgb="FFFF9900"/>
      <color rgb="FFFF6600"/>
      <color rgb="FF002060"/>
      <color rgb="FFCCFFFF"/>
      <color rgb="FFC000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/>
      <c:barChart>
        <c:barDir val="col"/>
        <c:grouping val="clustered"/>
        <c:ser>
          <c:idx val="2"/>
          <c:order val="2"/>
          <c:tx>
            <c:v>Baseline Period</c:v>
          </c:tx>
          <c:spPr>
            <a:solidFill>
              <a:schemeClr val="bg1">
                <a:lumMod val="50000"/>
                <a:alpha val="50000"/>
              </a:schemeClr>
            </a:solidFill>
          </c:spPr>
          <c:val>
            <c:numLit>
              <c:formatCode>General</c:formatCode>
              <c:ptCount val="12"/>
              <c:pt idx="0">
                <c:v>10</c:v>
              </c:pt>
              <c:pt idx="1">
                <c:v>10</c:v>
              </c:pt>
              <c:pt idx="2">
                <c:v>10</c:v>
              </c:pt>
              <c:pt idx="3">
                <c:v>10</c:v>
              </c:pt>
              <c:pt idx="4">
                <c:v>10</c:v>
              </c:pt>
              <c:pt idx="5">
                <c:v>10</c:v>
              </c:pt>
              <c:pt idx="6">
                <c:v>10</c:v>
              </c:pt>
              <c:pt idx="7">
                <c:v>10</c:v>
              </c:pt>
              <c:pt idx="8">
                <c:v>10</c:v>
              </c:pt>
              <c:pt idx="9">
                <c:v>10</c:v>
              </c:pt>
              <c:pt idx="10">
                <c:v>10</c:v>
              </c:pt>
              <c:pt idx="11">
                <c:v>10</c:v>
              </c:pt>
            </c:numLit>
          </c:val>
        </c:ser>
        <c:gapWidth val="0"/>
        <c:axId val="55056640"/>
        <c:axId val="55055104"/>
      </c:barChart>
      <c:lineChart>
        <c:grouping val="standard"/>
        <c:ser>
          <c:idx val="0"/>
          <c:order val="0"/>
          <c:tx>
            <c:strRef>
              <c:f>Table1!$E$9</c:f>
              <c:strCache>
                <c:ptCount val="1"/>
                <c:pt idx="0">
                  <c:v>Standardised Mortality Ratio (SMR)</c:v>
                </c:pt>
              </c:strCache>
            </c:strRef>
          </c:tx>
          <c:spPr>
            <a:ln w="12700">
              <a:solidFill>
                <a:srgbClr val="000080"/>
              </a:solidFill>
            </a:ln>
          </c:spPr>
          <c:marker>
            <c:symbol val="circle"/>
            <c:size val="7"/>
            <c:spPr>
              <a:solidFill>
                <a:srgbClr val="99CCFF"/>
              </a:solidFill>
            </c:spPr>
          </c:marker>
          <c:cat>
            <c:strRef>
              <c:f>[0]!table1_quarter</c:f>
              <c:strCache>
                <c:ptCount val="29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2018p</c:v>
                </c:pt>
              </c:strCache>
            </c:strRef>
          </c:cat>
          <c:val>
            <c:numRef>
              <c:f>[0]!table1_SMR</c:f>
              <c:numCache>
                <c:formatCode>0.00</c:formatCode>
                <c:ptCount val="29"/>
                <c:pt idx="0">
                  <c:v>1.1150287697786001</c:v>
                </c:pt>
                <c:pt idx="1">
                  <c:v>1.0187975976030199</c:v>
                </c:pt>
                <c:pt idx="2">
                  <c:v>1.0015346791244999</c:v>
                </c:pt>
                <c:pt idx="3">
                  <c:v>1.0225930441590201</c:v>
                </c:pt>
                <c:pt idx="4">
                  <c:v>0.99755277872571602</c:v>
                </c:pt>
                <c:pt idx="5">
                  <c:v>0.97887894792502395</c:v>
                </c:pt>
                <c:pt idx="6">
                  <c:v>0.95400541061961697</c:v>
                </c:pt>
                <c:pt idx="7">
                  <c:v>1.0481320540260399</c:v>
                </c:pt>
                <c:pt idx="8">
                  <c:v>1.0253934486537899</c:v>
                </c:pt>
                <c:pt idx="9">
                  <c:v>0.95609106061118299</c:v>
                </c:pt>
                <c:pt idx="10">
                  <c:v>0.92041895593701395</c:v>
                </c:pt>
                <c:pt idx="11">
                  <c:v>0.96113353379558797</c:v>
                </c:pt>
                <c:pt idx="12">
                  <c:v>0.94342186231079395</c:v>
                </c:pt>
                <c:pt idx="13">
                  <c:v>0.89074993488736998</c:v>
                </c:pt>
                <c:pt idx="14">
                  <c:v>0.92953567668181203</c:v>
                </c:pt>
                <c:pt idx="15">
                  <c:v>0.97802515589032402</c:v>
                </c:pt>
                <c:pt idx="16">
                  <c:v>0.99844982677883998</c:v>
                </c:pt>
                <c:pt idx="17">
                  <c:v>0.92638566963860902</c:v>
                </c:pt>
                <c:pt idx="18">
                  <c:v>0.89140158731249397</c:v>
                </c:pt>
                <c:pt idx="19">
                  <c:v>0.94087041705728203</c:v>
                </c:pt>
                <c:pt idx="20">
                  <c:v>0.96237881270859005</c:v>
                </c:pt>
                <c:pt idx="21">
                  <c:v>0.85934791841781</c:v>
                </c:pt>
                <c:pt idx="22">
                  <c:v>0.871687160321023</c:v>
                </c:pt>
                <c:pt idx="23">
                  <c:v>0.93190654936937001</c:v>
                </c:pt>
                <c:pt idx="24">
                  <c:v>0.92990549794993105</c:v>
                </c:pt>
                <c:pt idx="25">
                  <c:v>0.859998460848451</c:v>
                </c:pt>
                <c:pt idx="26">
                  <c:v>0.85030861931784196</c:v>
                </c:pt>
                <c:pt idx="27">
                  <c:v>0.934836758694085</c:v>
                </c:pt>
                <c:pt idx="28">
                  <c:v>0.931272143284823</c:v>
                </c:pt>
              </c:numCache>
            </c:numRef>
          </c:val>
        </c:ser>
        <c:ser>
          <c:idx val="1"/>
          <c:order val="1"/>
          <c:tx>
            <c:strRef>
              <c:f>Table1!$Q$9</c:f>
              <c:strCache>
                <c:ptCount val="1"/>
                <c:pt idx="0">
                  <c:v>Scottish SMR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triang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</a:ln>
            </c:spPr>
          </c:marker>
          <c:cat>
            <c:strRef>
              <c:f>[0]!table1_quarter</c:f>
              <c:strCache>
                <c:ptCount val="29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2018p</c:v>
                </c:pt>
              </c:strCache>
            </c:strRef>
          </c:cat>
          <c:val>
            <c:numRef>
              <c:f>[0]!table1_Scottish_SMR</c:f>
              <c:numCache>
                <c:formatCode>0.00</c:formatCode>
                <c:ptCount val="29"/>
                <c:pt idx="0">
                  <c:v>1.1150287697786001</c:v>
                </c:pt>
                <c:pt idx="1">
                  <c:v>1.0187975976030199</c:v>
                </c:pt>
                <c:pt idx="2">
                  <c:v>1.0015346791244999</c:v>
                </c:pt>
                <c:pt idx="3">
                  <c:v>1.0225930441590201</c:v>
                </c:pt>
                <c:pt idx="4">
                  <c:v>0.99755277872571602</c:v>
                </c:pt>
                <c:pt idx="5">
                  <c:v>0.97887894792502395</c:v>
                </c:pt>
                <c:pt idx="6">
                  <c:v>0.95400541061961697</c:v>
                </c:pt>
                <c:pt idx="7">
                  <c:v>1.0481320540260399</c:v>
                </c:pt>
                <c:pt idx="8">
                  <c:v>1.0253934486537899</c:v>
                </c:pt>
                <c:pt idx="9">
                  <c:v>0.95609106061118299</c:v>
                </c:pt>
                <c:pt idx="10">
                  <c:v>0.92041895593701395</c:v>
                </c:pt>
                <c:pt idx="11">
                  <c:v>0.96113353379558797</c:v>
                </c:pt>
                <c:pt idx="12">
                  <c:v>0.94342186231079395</c:v>
                </c:pt>
                <c:pt idx="13">
                  <c:v>0.89074993488736998</c:v>
                </c:pt>
                <c:pt idx="14">
                  <c:v>0.92953567668181203</c:v>
                </c:pt>
                <c:pt idx="15">
                  <c:v>0.97802515589032402</c:v>
                </c:pt>
                <c:pt idx="16">
                  <c:v>0.99844982677883998</c:v>
                </c:pt>
                <c:pt idx="17">
                  <c:v>0.92638566963860902</c:v>
                </c:pt>
                <c:pt idx="18">
                  <c:v>0.89140158731249397</c:v>
                </c:pt>
                <c:pt idx="19">
                  <c:v>0.94087041705728203</c:v>
                </c:pt>
                <c:pt idx="20">
                  <c:v>0.96237881270859005</c:v>
                </c:pt>
                <c:pt idx="21">
                  <c:v>0.85934791841781</c:v>
                </c:pt>
                <c:pt idx="22">
                  <c:v>0.871687160321023</c:v>
                </c:pt>
                <c:pt idx="23">
                  <c:v>0.93190654936937001</c:v>
                </c:pt>
                <c:pt idx="24">
                  <c:v>0.92990549794993105</c:v>
                </c:pt>
                <c:pt idx="25">
                  <c:v>0.859998460848451</c:v>
                </c:pt>
                <c:pt idx="26">
                  <c:v>0.85030861931784196</c:v>
                </c:pt>
                <c:pt idx="27">
                  <c:v>0.934836758694085</c:v>
                </c:pt>
                <c:pt idx="28">
                  <c:v>0.931272143284823</c:v>
                </c:pt>
              </c:numCache>
            </c:numRef>
          </c:val>
        </c:ser>
        <c:marker val="1"/>
        <c:axId val="66179456"/>
        <c:axId val="66181376"/>
      </c:lineChart>
      <c:catAx>
        <c:axId val="66179456"/>
        <c:scaling>
          <c:orientation val="minMax"/>
        </c:scaling>
        <c:axPos val="b"/>
        <c:tickLblPos val="nextTo"/>
        <c:txPr>
          <a:bodyPr rot="-5400000"/>
          <a:lstStyle/>
          <a:p>
            <a:pPr>
              <a:defRPr/>
            </a:pPr>
            <a:endParaRPr lang="en-US"/>
          </a:p>
        </c:txPr>
        <c:crossAx val="66181376"/>
        <c:crosses val="autoZero"/>
        <c:auto val="1"/>
        <c:lblAlgn val="ctr"/>
        <c:lblOffset val="100"/>
      </c:catAx>
      <c:valAx>
        <c:axId val="66181376"/>
        <c:scaling>
          <c:orientation val="minMax"/>
          <c:min val="0"/>
        </c:scaling>
        <c:axPos val="l"/>
        <c:majorGridlines>
          <c:spPr>
            <a:ln w="3175">
              <a:solidFill>
                <a:schemeClr val="tx1"/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n-GB">
                    <a:latin typeface="Arial" pitchFamily="34" charset="0"/>
                    <a:cs typeface="Arial" pitchFamily="34" charset="0"/>
                  </a:rPr>
                  <a:t>Standardised</a:t>
                </a:r>
                <a:r>
                  <a:rPr lang="en-GB" baseline="0">
                    <a:latin typeface="Arial" pitchFamily="34" charset="0"/>
                    <a:cs typeface="Arial" pitchFamily="34" charset="0"/>
                  </a:rPr>
                  <a:t> Mortality Ratio</a:t>
                </a:r>
                <a:endParaRPr lang="en-GB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6.5681444991789817E-3"/>
              <c:y val="0.22401593072327691"/>
            </c:manualLayout>
          </c:layout>
        </c:title>
        <c:numFmt formatCode="0.0" sourceLinked="0"/>
        <c:tickLblPos val="nextTo"/>
        <c:txPr>
          <a:bodyPr/>
          <a:lstStyle/>
          <a:p>
            <a:pPr>
              <a:defRPr sz="800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66179456"/>
        <c:crosses val="autoZero"/>
        <c:crossBetween val="between"/>
        <c:majorUnit val="0.5"/>
        <c:minorUnit val="0.5"/>
      </c:valAx>
      <c:valAx>
        <c:axId val="55055104"/>
        <c:scaling>
          <c:orientation val="minMax"/>
          <c:max val="0.5"/>
        </c:scaling>
        <c:axPos val="r"/>
        <c:numFmt formatCode="General" sourceLinked="1"/>
        <c:majorTickMark val="none"/>
        <c:tickLblPos val="none"/>
        <c:crossAx val="55056640"/>
        <c:crosses val="max"/>
        <c:crossBetween val="between"/>
      </c:valAx>
      <c:catAx>
        <c:axId val="55056640"/>
        <c:scaling>
          <c:orientation val="minMax"/>
        </c:scaling>
        <c:delete val="1"/>
        <c:axPos val="b"/>
        <c:tickLblPos val="none"/>
        <c:crossAx val="55055104"/>
        <c:crosses val="autoZero"/>
        <c:auto val="1"/>
        <c:lblAlgn val="ctr"/>
        <c:lblOffset val="100"/>
      </c:catAx>
      <c:spPr>
        <a:ln w="12700">
          <a:solidFill>
            <a:srgbClr val="808080"/>
          </a:solidFill>
          <a:prstDash val="solid"/>
        </a:ln>
      </c:spPr>
    </c:plotArea>
    <c:legend>
      <c:legendPos val="t"/>
      <c:layout/>
      <c:txPr>
        <a:bodyPr/>
        <a:lstStyle/>
        <a:p>
          <a:pPr>
            <a:defRPr sz="900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/>
      <c:barChart>
        <c:barDir val="col"/>
        <c:grouping val="clustered"/>
        <c:ser>
          <c:idx val="2"/>
          <c:order val="1"/>
          <c:tx>
            <c:v>Baseline Period</c:v>
          </c:tx>
          <c:spPr>
            <a:solidFill>
              <a:schemeClr val="bg1">
                <a:lumMod val="50000"/>
                <a:alpha val="50000"/>
              </a:schemeClr>
            </a:solidFill>
          </c:spPr>
          <c:val>
            <c:numLit>
              <c:formatCode>General</c:formatCode>
              <c:ptCount val="12"/>
              <c:pt idx="0">
                <c:v>10</c:v>
              </c:pt>
              <c:pt idx="1">
                <c:v>10</c:v>
              </c:pt>
              <c:pt idx="2">
                <c:v>10</c:v>
              </c:pt>
              <c:pt idx="3">
                <c:v>10</c:v>
              </c:pt>
              <c:pt idx="4">
                <c:v>10</c:v>
              </c:pt>
              <c:pt idx="5">
                <c:v>10</c:v>
              </c:pt>
              <c:pt idx="6">
                <c:v>10</c:v>
              </c:pt>
              <c:pt idx="7">
                <c:v>10</c:v>
              </c:pt>
              <c:pt idx="8">
                <c:v>10</c:v>
              </c:pt>
              <c:pt idx="9">
                <c:v>10</c:v>
              </c:pt>
              <c:pt idx="10">
                <c:v>10</c:v>
              </c:pt>
              <c:pt idx="11">
                <c:v>10</c:v>
              </c:pt>
            </c:numLit>
          </c:val>
        </c:ser>
        <c:gapWidth val="0"/>
        <c:axId val="66599168"/>
        <c:axId val="66597632"/>
      </c:barChart>
      <c:lineChart>
        <c:grouping val="standard"/>
        <c:ser>
          <c:idx val="0"/>
          <c:order val="0"/>
          <c:tx>
            <c:strRef>
              <c:f>Table1!$E$9</c:f>
              <c:strCache>
                <c:ptCount val="1"/>
                <c:pt idx="0">
                  <c:v>Standardised Mortality Ratio (SMR)</c:v>
                </c:pt>
              </c:strCache>
            </c:strRef>
          </c:tx>
          <c:spPr>
            <a:ln w="12700">
              <a:noFill/>
            </a:ln>
          </c:spPr>
          <c:marker>
            <c:symbol val="circle"/>
            <c:size val="7"/>
            <c:spPr>
              <a:solidFill>
                <a:srgbClr val="99CCFF"/>
              </a:solidFill>
            </c:spPr>
          </c:marker>
          <c:cat>
            <c:strRef>
              <c:f>[0]!table1_quarter</c:f>
              <c:strCache>
                <c:ptCount val="29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2018p</c:v>
                </c:pt>
              </c:strCache>
            </c:strRef>
          </c:cat>
          <c:val>
            <c:numRef>
              <c:f>[0]!table1_SMR</c:f>
              <c:numCache>
                <c:formatCode>0.00</c:formatCode>
                <c:ptCount val="29"/>
                <c:pt idx="0">
                  <c:v>1.1150287697786001</c:v>
                </c:pt>
                <c:pt idx="1">
                  <c:v>1.0187975976030199</c:v>
                </c:pt>
                <c:pt idx="2">
                  <c:v>1.0015346791244999</c:v>
                </c:pt>
                <c:pt idx="3">
                  <c:v>1.0225930441590201</c:v>
                </c:pt>
                <c:pt idx="4">
                  <c:v>0.99755277872571602</c:v>
                </c:pt>
                <c:pt idx="5">
                  <c:v>0.97887894792502395</c:v>
                </c:pt>
                <c:pt idx="6">
                  <c:v>0.95400541061961697</c:v>
                </c:pt>
                <c:pt idx="7">
                  <c:v>1.0481320540260399</c:v>
                </c:pt>
                <c:pt idx="8">
                  <c:v>1.0253934486537899</c:v>
                </c:pt>
                <c:pt idx="9">
                  <c:v>0.95609106061118299</c:v>
                </c:pt>
                <c:pt idx="10">
                  <c:v>0.92041895593701395</c:v>
                </c:pt>
                <c:pt idx="11">
                  <c:v>0.96113353379558797</c:v>
                </c:pt>
                <c:pt idx="12">
                  <c:v>0.94342186231079395</c:v>
                </c:pt>
                <c:pt idx="13">
                  <c:v>0.89074993488736998</c:v>
                </c:pt>
                <c:pt idx="14">
                  <c:v>0.92953567668181203</c:v>
                </c:pt>
                <c:pt idx="15">
                  <c:v>0.97802515589032402</c:v>
                </c:pt>
                <c:pt idx="16">
                  <c:v>0.99844982677883998</c:v>
                </c:pt>
                <c:pt idx="17">
                  <c:v>0.92638566963860902</c:v>
                </c:pt>
                <c:pt idx="18">
                  <c:v>0.89140158731249397</c:v>
                </c:pt>
                <c:pt idx="19">
                  <c:v>0.94087041705728203</c:v>
                </c:pt>
                <c:pt idx="20">
                  <c:v>0.96237881270859005</c:v>
                </c:pt>
                <c:pt idx="21">
                  <c:v>0.85934791841781</c:v>
                </c:pt>
                <c:pt idx="22">
                  <c:v>0.871687160321023</c:v>
                </c:pt>
                <c:pt idx="23">
                  <c:v>0.93190654936937001</c:v>
                </c:pt>
                <c:pt idx="24">
                  <c:v>0.92990549794993105</c:v>
                </c:pt>
                <c:pt idx="25">
                  <c:v>0.859998460848451</c:v>
                </c:pt>
                <c:pt idx="26">
                  <c:v>0.85030861931784196</c:v>
                </c:pt>
                <c:pt idx="27">
                  <c:v>0.934836758694085</c:v>
                </c:pt>
                <c:pt idx="28">
                  <c:v>0.931272143284823</c:v>
                </c:pt>
              </c:numCache>
            </c:numRef>
          </c:val>
        </c:ser>
        <c:ser>
          <c:idx val="1"/>
          <c:order val="2"/>
          <c:tx>
            <c:strRef>
              <c:f>Table1!$N$9</c:f>
              <c:strCache>
                <c:ptCount val="1"/>
                <c:pt idx="0">
                  <c:v>Regression line</c:v>
                </c:pt>
              </c:strCache>
            </c:strRef>
          </c:tx>
          <c:spPr>
            <a:ln w="25400" cmpd="sng">
              <a:solidFill>
                <a:srgbClr val="002060"/>
              </a:solidFill>
            </a:ln>
          </c:spPr>
          <c:marker>
            <c:symbol val="none"/>
          </c:marker>
          <c:cat>
            <c:strRef>
              <c:f>[0]!table1_quarter</c:f>
              <c:strCache>
                <c:ptCount val="29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2018p</c:v>
                </c:pt>
              </c:strCache>
            </c:strRef>
          </c:cat>
          <c:val>
            <c:numRef>
              <c:f>[0]!table1_regression</c:f>
              <c:numCache>
                <c:formatCode>0.00000</c:formatCode>
                <c:ptCount val="29"/>
                <c:pt idx="12">
                  <c:v>0.98044364312535004</c:v>
                </c:pt>
                <c:pt idx="13">
                  <c:v>0.97396926152691099</c:v>
                </c:pt>
                <c:pt idx="14">
                  <c:v>0.96749487992847105</c:v>
                </c:pt>
                <c:pt idx="15">
                  <c:v>0.961020498330032</c:v>
                </c:pt>
                <c:pt idx="16">
                  <c:v>0.95454611673159295</c:v>
                </c:pt>
                <c:pt idx="17">
                  <c:v>0.94807173513315302</c:v>
                </c:pt>
                <c:pt idx="18">
                  <c:v>0.94159735353471297</c:v>
                </c:pt>
                <c:pt idx="19">
                  <c:v>0.93512297193627403</c:v>
                </c:pt>
                <c:pt idx="20">
                  <c:v>0.92864859033783398</c:v>
                </c:pt>
                <c:pt idx="21">
                  <c:v>0.92217420873939504</c:v>
                </c:pt>
                <c:pt idx="22">
                  <c:v>0.91569982714095599</c:v>
                </c:pt>
                <c:pt idx="23">
                  <c:v>0.90922544554251605</c:v>
                </c:pt>
                <c:pt idx="24">
                  <c:v>0.902751063944077</c:v>
                </c:pt>
                <c:pt idx="25">
                  <c:v>0.89627668234563695</c:v>
                </c:pt>
                <c:pt idx="26">
                  <c:v>0.88980230074719802</c:v>
                </c:pt>
                <c:pt idx="27">
                  <c:v>0.88332791914875797</c:v>
                </c:pt>
                <c:pt idx="28">
                  <c:v>0.87685353755031903</c:v>
                </c:pt>
              </c:numCache>
            </c:numRef>
          </c:val>
        </c:ser>
        <c:marker val="1"/>
        <c:axId val="66589824"/>
        <c:axId val="66591360"/>
      </c:lineChart>
      <c:catAx>
        <c:axId val="66589824"/>
        <c:scaling>
          <c:orientation val="minMax"/>
        </c:scaling>
        <c:axPos val="b"/>
        <c:tickLblPos val="nextTo"/>
        <c:txPr>
          <a:bodyPr rot="-5400000"/>
          <a:lstStyle/>
          <a:p>
            <a:pPr>
              <a:defRPr/>
            </a:pPr>
            <a:endParaRPr lang="en-US"/>
          </a:p>
        </c:txPr>
        <c:crossAx val="66591360"/>
        <c:crosses val="autoZero"/>
        <c:auto val="1"/>
        <c:lblAlgn val="ctr"/>
        <c:lblOffset val="100"/>
      </c:catAx>
      <c:valAx>
        <c:axId val="66591360"/>
        <c:scaling>
          <c:orientation val="minMax"/>
          <c:min val="0"/>
        </c:scaling>
        <c:axPos val="l"/>
        <c:majorGridlines>
          <c:spPr>
            <a:ln w="3175">
              <a:solidFill>
                <a:schemeClr val="tx1"/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n-GB">
                    <a:latin typeface="Arial" pitchFamily="34" charset="0"/>
                    <a:cs typeface="Arial" pitchFamily="34" charset="0"/>
                  </a:rPr>
                  <a:t>Standardised</a:t>
                </a:r>
                <a:r>
                  <a:rPr lang="en-GB" baseline="0">
                    <a:latin typeface="Arial" pitchFamily="34" charset="0"/>
                    <a:cs typeface="Arial" pitchFamily="34" charset="0"/>
                  </a:rPr>
                  <a:t> Mortality Ratio</a:t>
                </a:r>
                <a:endParaRPr lang="en-GB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6.5681444991789817E-3"/>
              <c:y val="0.22401593072327691"/>
            </c:manualLayout>
          </c:layout>
        </c:title>
        <c:numFmt formatCode="0.0" sourceLinked="0"/>
        <c:tickLblPos val="nextTo"/>
        <c:txPr>
          <a:bodyPr/>
          <a:lstStyle/>
          <a:p>
            <a:pPr>
              <a:defRPr sz="800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66589824"/>
        <c:crosses val="autoZero"/>
        <c:crossBetween val="between"/>
        <c:majorUnit val="0.5"/>
        <c:minorUnit val="0.5"/>
      </c:valAx>
      <c:valAx>
        <c:axId val="66597632"/>
        <c:scaling>
          <c:orientation val="minMax"/>
          <c:max val="0.5"/>
        </c:scaling>
        <c:axPos val="r"/>
        <c:numFmt formatCode="General" sourceLinked="1"/>
        <c:majorTickMark val="none"/>
        <c:tickLblPos val="none"/>
        <c:crossAx val="66599168"/>
        <c:crosses val="max"/>
        <c:crossBetween val="between"/>
      </c:valAx>
      <c:catAx>
        <c:axId val="66599168"/>
        <c:scaling>
          <c:orientation val="minMax"/>
        </c:scaling>
        <c:delete val="1"/>
        <c:axPos val="b"/>
        <c:tickLblPos val="none"/>
        <c:crossAx val="66597632"/>
        <c:crosses val="autoZero"/>
        <c:auto val="1"/>
        <c:lblAlgn val="ctr"/>
        <c:lblOffset val="100"/>
      </c:catAx>
      <c:spPr>
        <a:ln w="12700">
          <a:solidFill>
            <a:srgbClr val="808080"/>
          </a:solidFill>
          <a:prstDash val="solid"/>
        </a:ln>
      </c:spPr>
    </c:plotArea>
    <c:legend>
      <c:legendPos val="t"/>
      <c:layout/>
      <c:txPr>
        <a:bodyPr/>
        <a:lstStyle/>
        <a:p>
          <a:pPr>
            <a:defRPr sz="900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/>
      <c:barChart>
        <c:barDir val="col"/>
        <c:grouping val="clustered"/>
        <c:ser>
          <c:idx val="2"/>
          <c:order val="2"/>
          <c:tx>
            <c:v>Baseline Period</c:v>
          </c:tx>
          <c:spPr>
            <a:solidFill>
              <a:schemeClr val="bg1">
                <a:lumMod val="50000"/>
                <a:alpha val="50000"/>
              </a:schemeClr>
            </a:solidFill>
          </c:spPr>
          <c:val>
            <c:numLit>
              <c:formatCode>General</c:formatCode>
              <c:ptCount val="12"/>
              <c:pt idx="0">
                <c:v>100000</c:v>
              </c:pt>
              <c:pt idx="1">
                <c:v>100000</c:v>
              </c:pt>
              <c:pt idx="2">
                <c:v>100000</c:v>
              </c:pt>
              <c:pt idx="3">
                <c:v>100000</c:v>
              </c:pt>
              <c:pt idx="4">
                <c:v>100000</c:v>
              </c:pt>
              <c:pt idx="5">
                <c:v>100000</c:v>
              </c:pt>
              <c:pt idx="6">
                <c:v>100000</c:v>
              </c:pt>
              <c:pt idx="7">
                <c:v>100000</c:v>
              </c:pt>
              <c:pt idx="8">
                <c:v>100000</c:v>
              </c:pt>
              <c:pt idx="9">
                <c:v>100000</c:v>
              </c:pt>
              <c:pt idx="10">
                <c:v>100000</c:v>
              </c:pt>
              <c:pt idx="11">
                <c:v>100000</c:v>
              </c:pt>
            </c:numLit>
          </c:val>
        </c:ser>
        <c:gapWidth val="0"/>
        <c:axId val="66824064"/>
        <c:axId val="66822528"/>
      </c:barChart>
      <c:lineChart>
        <c:grouping val="standard"/>
        <c:ser>
          <c:idx val="0"/>
          <c:order val="0"/>
          <c:tx>
            <c:strRef>
              <c:f>Table1!$O$9</c:f>
              <c:strCache>
                <c:ptCount val="1"/>
                <c:pt idx="0">
                  <c:v>Scotland observed deaths (30 days)</c:v>
                </c:pt>
              </c:strCache>
            </c:strRef>
          </c:tx>
          <c:spPr>
            <a:ln w="3175">
              <a:solidFill>
                <a:srgbClr val="FF9900"/>
              </a:solidFill>
            </a:ln>
          </c:spPr>
          <c:marker>
            <c:symbol val="circle"/>
            <c:size val="7"/>
            <c:spPr>
              <a:solidFill>
                <a:srgbClr val="FF9900"/>
              </a:solidFill>
              <a:ln>
                <a:solidFill>
                  <a:srgbClr val="FF6600"/>
                </a:solidFill>
              </a:ln>
            </c:spPr>
          </c:marker>
          <c:cat>
            <c:strRef>
              <c:f>[0]!table1_quarter</c:f>
              <c:strCache>
                <c:ptCount val="29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2018p</c:v>
                </c:pt>
              </c:strCache>
            </c:strRef>
          </c:cat>
          <c:val>
            <c:numRef>
              <c:f>[0]!table1_Scotland_observed</c:f>
              <c:numCache>
                <c:formatCode>0</c:formatCode>
                <c:ptCount val="29"/>
                <c:pt idx="0">
                  <c:v>7106</c:v>
                </c:pt>
                <c:pt idx="1">
                  <c:v>6170</c:v>
                </c:pt>
                <c:pt idx="2">
                  <c:v>6027</c:v>
                </c:pt>
                <c:pt idx="3">
                  <c:v>6578</c:v>
                </c:pt>
                <c:pt idx="4">
                  <c:v>6656</c:v>
                </c:pt>
                <c:pt idx="5">
                  <c:v>6397</c:v>
                </c:pt>
                <c:pt idx="6">
                  <c:v>5990</c:v>
                </c:pt>
                <c:pt idx="7">
                  <c:v>7052</c:v>
                </c:pt>
                <c:pt idx="8">
                  <c:v>6951</c:v>
                </c:pt>
                <c:pt idx="9">
                  <c:v>6225</c:v>
                </c:pt>
                <c:pt idx="10">
                  <c:v>5890</c:v>
                </c:pt>
                <c:pt idx="11">
                  <c:v>6409</c:v>
                </c:pt>
                <c:pt idx="12">
                  <c:v>6362</c:v>
                </c:pt>
                <c:pt idx="13">
                  <c:v>5886</c:v>
                </c:pt>
                <c:pt idx="14">
                  <c:v>6149</c:v>
                </c:pt>
                <c:pt idx="15">
                  <c:v>6885</c:v>
                </c:pt>
                <c:pt idx="16">
                  <c:v>7353</c:v>
                </c:pt>
                <c:pt idx="17">
                  <c:v>6432</c:v>
                </c:pt>
                <c:pt idx="18">
                  <c:v>6054</c:v>
                </c:pt>
                <c:pt idx="19">
                  <c:v>6694</c:v>
                </c:pt>
                <c:pt idx="20">
                  <c:v>7167</c:v>
                </c:pt>
                <c:pt idx="21">
                  <c:v>6072</c:v>
                </c:pt>
                <c:pt idx="22">
                  <c:v>6092</c:v>
                </c:pt>
                <c:pt idx="23">
                  <c:v>7055</c:v>
                </c:pt>
                <c:pt idx="24">
                  <c:v>7069</c:v>
                </c:pt>
                <c:pt idx="25">
                  <c:v>6265</c:v>
                </c:pt>
                <c:pt idx="26">
                  <c:v>6118</c:v>
                </c:pt>
                <c:pt idx="27">
                  <c:v>7554</c:v>
                </c:pt>
                <c:pt idx="28">
                  <c:v>7411</c:v>
                </c:pt>
              </c:numCache>
            </c:numRef>
          </c:val>
        </c:ser>
        <c:ser>
          <c:idx val="1"/>
          <c:order val="1"/>
          <c:tx>
            <c:strRef>
              <c:f>Table1!$P$9</c:f>
              <c:strCache>
                <c:ptCount val="1"/>
                <c:pt idx="0">
                  <c:v>Scotland predicted deaths (30 days)</c:v>
                </c:pt>
              </c:strCache>
            </c:strRef>
          </c:tx>
          <c:spPr>
            <a:ln w="12700">
              <a:solidFill>
                <a:srgbClr val="99CCFF"/>
              </a:solidFill>
            </a:ln>
          </c:spPr>
          <c:marker>
            <c:symbol val="circle"/>
            <c:size val="7"/>
            <c:spPr>
              <a:solidFill>
                <a:srgbClr val="99CCFF"/>
              </a:solidFill>
              <a:ln>
                <a:solidFill>
                  <a:srgbClr val="000080"/>
                </a:solidFill>
              </a:ln>
            </c:spPr>
          </c:marker>
          <c:cat>
            <c:strRef>
              <c:f>[0]!table1_quarter</c:f>
              <c:strCache>
                <c:ptCount val="29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2018p</c:v>
                </c:pt>
              </c:strCache>
            </c:strRef>
          </c:cat>
          <c:val>
            <c:numRef>
              <c:f>[0]!table1_Scotland_predicted</c:f>
              <c:numCache>
                <c:formatCode>0</c:formatCode>
                <c:ptCount val="29"/>
                <c:pt idx="0">
                  <c:v>6372.9297329350302</c:v>
                </c:pt>
                <c:pt idx="1">
                  <c:v>6056.1587645244599</c:v>
                </c:pt>
                <c:pt idx="2">
                  <c:v>6017.7646621967697</c:v>
                </c:pt>
                <c:pt idx="3">
                  <c:v>6432.66648210946</c:v>
                </c:pt>
                <c:pt idx="4">
                  <c:v>6672.3286646571696</c:v>
                </c:pt>
                <c:pt idx="5">
                  <c:v>6535.0266379310997</c:v>
                </c:pt>
                <c:pt idx="6">
                  <c:v>6278.7903855907398</c:v>
                </c:pt>
                <c:pt idx="7">
                  <c:v>6728.1598467599097</c:v>
                </c:pt>
                <c:pt idx="8">
                  <c:v>6778.86133281403</c:v>
                </c:pt>
                <c:pt idx="9">
                  <c:v>6510.8861032762497</c:v>
                </c:pt>
                <c:pt idx="10">
                  <c:v>6399.2597740491001</c:v>
                </c:pt>
                <c:pt idx="11">
                  <c:v>6668.1681313213403</c:v>
                </c:pt>
                <c:pt idx="12">
                  <c:v>6743.5367507989204</c:v>
                </c:pt>
                <c:pt idx="13">
                  <c:v>6607.9151616713298</c:v>
                </c:pt>
                <c:pt idx="14">
                  <c:v>6615.1307090764403</c:v>
                </c:pt>
                <c:pt idx="15">
                  <c:v>7039.6962271715702</c:v>
                </c:pt>
                <c:pt idx="16">
                  <c:v>7364.41612065972</c:v>
                </c:pt>
                <c:pt idx="17">
                  <c:v>6943.1125834547702</c:v>
                </c:pt>
                <c:pt idx="18">
                  <c:v>6791.5517384844898</c:v>
                </c:pt>
                <c:pt idx="19">
                  <c:v>7114.6885677801602</c:v>
                </c:pt>
                <c:pt idx="20">
                  <c:v>7447.1714312045897</c:v>
                </c:pt>
                <c:pt idx="21">
                  <c:v>7065.8226660739201</c:v>
                </c:pt>
                <c:pt idx="22">
                  <c:v>6988.7458222471196</c:v>
                </c:pt>
                <c:pt idx="23">
                  <c:v>7570.5015752643703</c:v>
                </c:pt>
                <c:pt idx="24">
                  <c:v>7601.8477313923904</c:v>
                </c:pt>
                <c:pt idx="25">
                  <c:v>7284.8967587908501</c:v>
                </c:pt>
                <c:pt idx="26">
                  <c:v>7195.0346744787203</c:v>
                </c:pt>
                <c:pt idx="27">
                  <c:v>8080.5551661795198</c:v>
                </c:pt>
                <c:pt idx="28">
                  <c:v>7957.9315814812298</c:v>
                </c:pt>
              </c:numCache>
            </c:numRef>
          </c:val>
        </c:ser>
        <c:marker val="1"/>
        <c:axId val="66810240"/>
        <c:axId val="66812160"/>
      </c:lineChart>
      <c:catAx>
        <c:axId val="66810240"/>
        <c:scaling>
          <c:orientation val="minMax"/>
        </c:scaling>
        <c:axPos val="b"/>
        <c:tickLblPos val="nextTo"/>
        <c:txPr>
          <a:bodyPr rot="-5400000"/>
          <a:lstStyle/>
          <a:p>
            <a:pPr>
              <a:defRPr sz="800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66812160"/>
        <c:crosses val="autoZero"/>
        <c:auto val="1"/>
        <c:lblAlgn val="ctr"/>
        <c:lblOffset val="100"/>
      </c:catAx>
      <c:valAx>
        <c:axId val="66812160"/>
        <c:scaling>
          <c:orientation val="minMax"/>
          <c:min val="0"/>
        </c:scaling>
        <c:axPos val="l"/>
        <c:majorGridlines>
          <c:spPr>
            <a:ln w="3175">
              <a:solidFill>
                <a:schemeClr val="tx1"/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n-GB">
                    <a:latin typeface="Arial" pitchFamily="34" charset="0"/>
                    <a:cs typeface="Arial" pitchFamily="34" charset="0"/>
                  </a:rPr>
                  <a:t>Number of death</a:t>
                </a:r>
              </a:p>
            </c:rich>
          </c:tx>
          <c:layout>
            <c:manualLayout>
              <c:xMode val="edge"/>
              <c:yMode val="edge"/>
              <c:x val="6.5681444991789817E-3"/>
              <c:y val="0.33229125941623838"/>
            </c:manualLayout>
          </c:layout>
        </c:title>
        <c:numFmt formatCode="0" sourceLinked="0"/>
        <c:tickLblPos val="nextTo"/>
        <c:txPr>
          <a:bodyPr/>
          <a:lstStyle/>
          <a:p>
            <a:pPr>
              <a:defRPr sz="900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66810240"/>
        <c:crosses val="autoZero"/>
        <c:crossBetween val="between"/>
        <c:minorUnit val="18"/>
      </c:valAx>
      <c:valAx>
        <c:axId val="66822528"/>
        <c:scaling>
          <c:orientation val="minMax"/>
          <c:max val="10000"/>
        </c:scaling>
        <c:axPos val="r"/>
        <c:numFmt formatCode="General" sourceLinked="1"/>
        <c:majorTickMark val="none"/>
        <c:tickLblPos val="none"/>
        <c:crossAx val="66824064"/>
        <c:crosses val="max"/>
        <c:crossBetween val="between"/>
      </c:valAx>
      <c:catAx>
        <c:axId val="66824064"/>
        <c:scaling>
          <c:orientation val="minMax"/>
        </c:scaling>
        <c:delete val="1"/>
        <c:axPos val="b"/>
        <c:tickLblPos val="none"/>
        <c:crossAx val="66822528"/>
        <c:crosses val="autoZero"/>
        <c:auto val="1"/>
        <c:lblAlgn val="ctr"/>
        <c:lblOffset val="100"/>
      </c:catAx>
      <c:spPr>
        <a:ln w="12700">
          <a:solidFill>
            <a:srgbClr val="808080"/>
          </a:solidFill>
          <a:prstDash val="solid"/>
        </a:ln>
      </c:spPr>
    </c:plotArea>
    <c:legend>
      <c:legendPos val="t"/>
      <c:layout/>
      <c:txPr>
        <a:bodyPr/>
        <a:lstStyle/>
        <a:p>
          <a:pPr>
            <a:defRPr sz="900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/>
      <c:barChart>
        <c:barDir val="col"/>
        <c:grouping val="clustered"/>
        <c:ser>
          <c:idx val="2"/>
          <c:order val="2"/>
          <c:tx>
            <c:v>Baseline Period</c:v>
          </c:tx>
          <c:spPr>
            <a:solidFill>
              <a:schemeClr val="bg1">
                <a:lumMod val="50000"/>
                <a:alpha val="50000"/>
              </a:schemeClr>
            </a:solidFill>
          </c:spPr>
          <c:val>
            <c:numLit>
              <c:formatCode>General</c:formatCode>
              <c:ptCount val="12"/>
              <c:pt idx="0">
                <c:v>100000</c:v>
              </c:pt>
              <c:pt idx="1">
                <c:v>100000</c:v>
              </c:pt>
              <c:pt idx="2">
                <c:v>100000</c:v>
              </c:pt>
              <c:pt idx="3">
                <c:v>100000</c:v>
              </c:pt>
              <c:pt idx="4">
                <c:v>100000</c:v>
              </c:pt>
              <c:pt idx="5">
                <c:v>100000</c:v>
              </c:pt>
              <c:pt idx="6">
                <c:v>100000</c:v>
              </c:pt>
              <c:pt idx="7">
                <c:v>100000</c:v>
              </c:pt>
              <c:pt idx="8">
                <c:v>100000</c:v>
              </c:pt>
              <c:pt idx="9">
                <c:v>100000</c:v>
              </c:pt>
              <c:pt idx="10">
                <c:v>100000</c:v>
              </c:pt>
              <c:pt idx="11">
                <c:v>100000</c:v>
              </c:pt>
            </c:numLit>
          </c:val>
        </c:ser>
        <c:gapWidth val="0"/>
        <c:axId val="66753664"/>
        <c:axId val="66747776"/>
      </c:barChart>
      <c:lineChart>
        <c:grouping val="standard"/>
        <c:ser>
          <c:idx val="0"/>
          <c:order val="0"/>
          <c:tx>
            <c:strRef>
              <c:f>Table1!$C$9</c:f>
              <c:strCache>
                <c:ptCount val="1"/>
                <c:pt idx="0">
                  <c:v>Observed deaths      (30 days)</c:v>
                </c:pt>
              </c:strCache>
            </c:strRef>
          </c:tx>
          <c:spPr>
            <a:ln w="3175">
              <a:solidFill>
                <a:srgbClr val="FF9900"/>
              </a:solidFill>
            </a:ln>
          </c:spPr>
          <c:marker>
            <c:symbol val="circle"/>
            <c:size val="7"/>
            <c:spPr>
              <a:solidFill>
                <a:srgbClr val="FF9900"/>
              </a:solidFill>
              <a:ln>
                <a:solidFill>
                  <a:srgbClr val="FF6600"/>
                </a:solidFill>
              </a:ln>
            </c:spPr>
          </c:marker>
          <c:cat>
            <c:strRef>
              <c:f>[0]!table1_quarter</c:f>
              <c:strCache>
                <c:ptCount val="29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2018p</c:v>
                </c:pt>
              </c:strCache>
            </c:strRef>
          </c:cat>
          <c:val>
            <c:numRef>
              <c:f>[0]!table1_observed</c:f>
              <c:numCache>
                <c:formatCode>0</c:formatCode>
                <c:ptCount val="29"/>
                <c:pt idx="0">
                  <c:v>7106</c:v>
                </c:pt>
                <c:pt idx="1">
                  <c:v>6170</c:v>
                </c:pt>
                <c:pt idx="2">
                  <c:v>6027</c:v>
                </c:pt>
                <c:pt idx="3">
                  <c:v>6578</c:v>
                </c:pt>
                <c:pt idx="4">
                  <c:v>6656</c:v>
                </c:pt>
                <c:pt idx="5">
                  <c:v>6397</c:v>
                </c:pt>
                <c:pt idx="6">
                  <c:v>5990</c:v>
                </c:pt>
                <c:pt idx="7">
                  <c:v>7052</c:v>
                </c:pt>
                <c:pt idx="8">
                  <c:v>6951</c:v>
                </c:pt>
                <c:pt idx="9">
                  <c:v>6225</c:v>
                </c:pt>
                <c:pt idx="10">
                  <c:v>5890</c:v>
                </c:pt>
                <c:pt idx="11">
                  <c:v>6409</c:v>
                </c:pt>
                <c:pt idx="12">
                  <c:v>6362</c:v>
                </c:pt>
                <c:pt idx="13">
                  <c:v>5886</c:v>
                </c:pt>
                <c:pt idx="14">
                  <c:v>6149</c:v>
                </c:pt>
                <c:pt idx="15">
                  <c:v>6885</c:v>
                </c:pt>
                <c:pt idx="16">
                  <c:v>7353</c:v>
                </c:pt>
                <c:pt idx="17">
                  <c:v>6432</c:v>
                </c:pt>
                <c:pt idx="18">
                  <c:v>6054</c:v>
                </c:pt>
                <c:pt idx="19">
                  <c:v>6694</c:v>
                </c:pt>
                <c:pt idx="20">
                  <c:v>7167</c:v>
                </c:pt>
                <c:pt idx="21">
                  <c:v>6072</c:v>
                </c:pt>
                <c:pt idx="22">
                  <c:v>6092</c:v>
                </c:pt>
                <c:pt idx="23">
                  <c:v>7055</c:v>
                </c:pt>
                <c:pt idx="24">
                  <c:v>7069</c:v>
                </c:pt>
                <c:pt idx="25">
                  <c:v>6265</c:v>
                </c:pt>
                <c:pt idx="26">
                  <c:v>6118</c:v>
                </c:pt>
                <c:pt idx="27">
                  <c:v>7554</c:v>
                </c:pt>
                <c:pt idx="28">
                  <c:v>7411</c:v>
                </c:pt>
              </c:numCache>
            </c:numRef>
          </c:val>
        </c:ser>
        <c:ser>
          <c:idx val="1"/>
          <c:order val="1"/>
          <c:tx>
            <c:strRef>
              <c:f>Table1!$D$9</c:f>
              <c:strCache>
                <c:ptCount val="1"/>
                <c:pt idx="0">
                  <c:v>Predicted deaths      (30 days)</c:v>
                </c:pt>
              </c:strCache>
            </c:strRef>
          </c:tx>
          <c:spPr>
            <a:ln w="12700">
              <a:solidFill>
                <a:srgbClr val="99CCFF"/>
              </a:solidFill>
            </a:ln>
          </c:spPr>
          <c:marker>
            <c:symbol val="circle"/>
            <c:size val="7"/>
            <c:spPr>
              <a:solidFill>
                <a:srgbClr val="99CCFF"/>
              </a:solidFill>
              <a:ln>
                <a:solidFill>
                  <a:srgbClr val="000080"/>
                </a:solidFill>
              </a:ln>
            </c:spPr>
          </c:marker>
          <c:cat>
            <c:strRef>
              <c:f>[0]!table1_quarter</c:f>
              <c:strCache>
                <c:ptCount val="29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2018p</c:v>
                </c:pt>
              </c:strCache>
            </c:strRef>
          </c:cat>
          <c:val>
            <c:numRef>
              <c:f>[0]!table1_predicted</c:f>
              <c:numCache>
                <c:formatCode>0</c:formatCode>
                <c:ptCount val="29"/>
                <c:pt idx="0">
                  <c:v>6372.9297329350302</c:v>
                </c:pt>
                <c:pt idx="1">
                  <c:v>6056.1587645244599</c:v>
                </c:pt>
                <c:pt idx="2">
                  <c:v>6017.7646621967697</c:v>
                </c:pt>
                <c:pt idx="3">
                  <c:v>6432.66648210946</c:v>
                </c:pt>
                <c:pt idx="4">
                  <c:v>6672.3286646571696</c:v>
                </c:pt>
                <c:pt idx="5">
                  <c:v>6535.0266379310997</c:v>
                </c:pt>
                <c:pt idx="6">
                  <c:v>6278.7903855907398</c:v>
                </c:pt>
                <c:pt idx="7">
                  <c:v>6728.1598467599097</c:v>
                </c:pt>
                <c:pt idx="8">
                  <c:v>6778.86133281403</c:v>
                </c:pt>
                <c:pt idx="9">
                  <c:v>6510.8861032762497</c:v>
                </c:pt>
                <c:pt idx="10">
                  <c:v>6399.2597740491001</c:v>
                </c:pt>
                <c:pt idx="11">
                  <c:v>6668.1681313213403</c:v>
                </c:pt>
                <c:pt idx="12">
                  <c:v>6743.5367507989204</c:v>
                </c:pt>
                <c:pt idx="13">
                  <c:v>6607.9151616713298</c:v>
                </c:pt>
                <c:pt idx="14">
                  <c:v>6615.1307090764403</c:v>
                </c:pt>
                <c:pt idx="15">
                  <c:v>7039.6962271715702</c:v>
                </c:pt>
                <c:pt idx="16">
                  <c:v>7364.41612065972</c:v>
                </c:pt>
                <c:pt idx="17">
                  <c:v>6943.1125834547702</c:v>
                </c:pt>
                <c:pt idx="18">
                  <c:v>6791.5517384844898</c:v>
                </c:pt>
                <c:pt idx="19">
                  <c:v>7114.6885677801602</c:v>
                </c:pt>
                <c:pt idx="20">
                  <c:v>7447.1714312045897</c:v>
                </c:pt>
                <c:pt idx="21">
                  <c:v>7065.8226660739201</c:v>
                </c:pt>
                <c:pt idx="22">
                  <c:v>6988.7458222471196</c:v>
                </c:pt>
                <c:pt idx="23">
                  <c:v>7570.5015752643703</c:v>
                </c:pt>
                <c:pt idx="24">
                  <c:v>7601.8477313923904</c:v>
                </c:pt>
                <c:pt idx="25">
                  <c:v>7284.8967587908501</c:v>
                </c:pt>
                <c:pt idx="26">
                  <c:v>7195.0346744787203</c:v>
                </c:pt>
                <c:pt idx="27">
                  <c:v>8080.5551661795198</c:v>
                </c:pt>
                <c:pt idx="28">
                  <c:v>7957.9315814812298</c:v>
                </c:pt>
              </c:numCache>
            </c:numRef>
          </c:val>
        </c:ser>
        <c:marker val="1"/>
        <c:axId val="66743680"/>
        <c:axId val="66745856"/>
      </c:lineChart>
      <c:catAx>
        <c:axId val="66743680"/>
        <c:scaling>
          <c:orientation val="minMax"/>
        </c:scaling>
        <c:axPos val="b"/>
        <c:tickLblPos val="nextTo"/>
        <c:txPr>
          <a:bodyPr rot="-5400000"/>
          <a:lstStyle/>
          <a:p>
            <a:pPr>
              <a:defRPr sz="800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66745856"/>
        <c:crosses val="autoZero"/>
        <c:auto val="1"/>
        <c:lblAlgn val="ctr"/>
        <c:lblOffset val="100"/>
      </c:catAx>
      <c:valAx>
        <c:axId val="66745856"/>
        <c:scaling>
          <c:orientation val="minMax"/>
          <c:min val="0"/>
        </c:scaling>
        <c:axPos val="l"/>
        <c:majorGridlines>
          <c:spPr>
            <a:ln w="3175">
              <a:solidFill>
                <a:schemeClr val="tx1"/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n-GB">
                    <a:latin typeface="Arial" pitchFamily="34" charset="0"/>
                    <a:cs typeface="Arial" pitchFamily="34" charset="0"/>
                  </a:rPr>
                  <a:t>Number of death</a:t>
                </a:r>
              </a:p>
            </c:rich>
          </c:tx>
          <c:layout>
            <c:manualLayout>
              <c:xMode val="edge"/>
              <c:yMode val="edge"/>
              <c:x val="6.5681444991789817E-3"/>
              <c:y val="0.33229125941623822"/>
            </c:manualLayout>
          </c:layout>
        </c:title>
        <c:numFmt formatCode="0" sourceLinked="0"/>
        <c:tickLblPos val="nextTo"/>
        <c:txPr>
          <a:bodyPr/>
          <a:lstStyle/>
          <a:p>
            <a:pPr>
              <a:defRPr sz="900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66743680"/>
        <c:crosses val="autoZero"/>
        <c:crossBetween val="between"/>
        <c:minorUnit val="18"/>
      </c:valAx>
      <c:valAx>
        <c:axId val="66747776"/>
        <c:scaling>
          <c:orientation val="minMax"/>
          <c:max val="10000"/>
        </c:scaling>
        <c:axPos val="r"/>
        <c:numFmt formatCode="General" sourceLinked="1"/>
        <c:majorTickMark val="none"/>
        <c:tickLblPos val="none"/>
        <c:crossAx val="66753664"/>
        <c:crosses val="max"/>
        <c:crossBetween val="between"/>
      </c:valAx>
      <c:catAx>
        <c:axId val="66753664"/>
        <c:scaling>
          <c:orientation val="minMax"/>
        </c:scaling>
        <c:delete val="1"/>
        <c:axPos val="b"/>
        <c:tickLblPos val="none"/>
        <c:crossAx val="66747776"/>
        <c:crosses val="autoZero"/>
        <c:auto val="1"/>
        <c:lblAlgn val="ctr"/>
        <c:lblOffset val="100"/>
      </c:catAx>
      <c:spPr>
        <a:ln w="12700">
          <a:solidFill>
            <a:srgbClr val="808080"/>
          </a:solidFill>
          <a:prstDash val="solid"/>
        </a:ln>
      </c:spPr>
    </c:plotArea>
    <c:legend>
      <c:legendPos val="t"/>
      <c:txPr>
        <a:bodyPr/>
        <a:lstStyle/>
        <a:p>
          <a:pPr>
            <a:defRPr sz="900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>
      <a:noFill/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/>
      <c:lineChart>
        <c:grouping val="standard"/>
        <c:ser>
          <c:idx val="1"/>
          <c:order val="0"/>
          <c:tx>
            <c:strRef>
              <c:f>Table1!$G$9</c:f>
              <c:strCache>
                <c:ptCount val="1"/>
                <c:pt idx="0">
                  <c:v>Crude Mortality Rate (%)</c:v>
                </c:pt>
              </c:strCache>
            </c:strRef>
          </c:tx>
          <c:spPr>
            <a:ln w="12700">
              <a:solidFill>
                <a:srgbClr val="99CCFF"/>
              </a:solidFill>
            </a:ln>
          </c:spPr>
          <c:marker>
            <c:symbol val="circle"/>
            <c:size val="7"/>
            <c:spPr>
              <a:solidFill>
                <a:srgbClr val="99CCFF"/>
              </a:solidFill>
              <a:ln>
                <a:solidFill>
                  <a:srgbClr val="000080"/>
                </a:solidFill>
              </a:ln>
            </c:spPr>
          </c:marker>
          <c:cat>
            <c:strRef>
              <c:f>[0]!table1_quarter</c:f>
              <c:strCache>
                <c:ptCount val="29"/>
                <c:pt idx="0">
                  <c:v>Jan-Mar 2011</c:v>
                </c:pt>
                <c:pt idx="1">
                  <c:v>Apr-Jun 2011</c:v>
                </c:pt>
                <c:pt idx="2">
                  <c:v>Jul-Sep 2011</c:v>
                </c:pt>
                <c:pt idx="3">
                  <c:v>Oct-Dec 2011</c:v>
                </c:pt>
                <c:pt idx="4">
                  <c:v>Jan-Mar 2012</c:v>
                </c:pt>
                <c:pt idx="5">
                  <c:v>Apr-Jun 2012</c:v>
                </c:pt>
                <c:pt idx="6">
                  <c:v>Jul-Sep 2012</c:v>
                </c:pt>
                <c:pt idx="7">
                  <c:v>Oct-Dec 2012</c:v>
                </c:pt>
                <c:pt idx="8">
                  <c:v>Jan-Mar 2013</c:v>
                </c:pt>
                <c:pt idx="9">
                  <c:v>Apr-Jun 2013</c:v>
                </c:pt>
                <c:pt idx="10">
                  <c:v>Jul-Sep 2013</c:v>
                </c:pt>
                <c:pt idx="11">
                  <c:v>Oct-Dec 2013</c:v>
                </c:pt>
                <c:pt idx="12">
                  <c:v>Jan-Mar 2014</c:v>
                </c:pt>
                <c:pt idx="13">
                  <c:v>Apr-Jun 2014</c:v>
                </c:pt>
                <c:pt idx="14">
                  <c:v>Jul-Sep 2014</c:v>
                </c:pt>
                <c:pt idx="15">
                  <c:v>Oct-Dec 2014</c:v>
                </c:pt>
                <c:pt idx="16">
                  <c:v>Jan-Mar 2015</c:v>
                </c:pt>
                <c:pt idx="17">
                  <c:v>Apr-Jun 2015</c:v>
                </c:pt>
                <c:pt idx="18">
                  <c:v>Jul-Sep 2015</c:v>
                </c:pt>
                <c:pt idx="19">
                  <c:v>Oct-Dec 2015</c:v>
                </c:pt>
                <c:pt idx="20">
                  <c:v>Jan-Mar 2016</c:v>
                </c:pt>
                <c:pt idx="21">
                  <c:v>Apr-Jun 2016</c:v>
                </c:pt>
                <c:pt idx="22">
                  <c:v>Jul-Sep 2016</c:v>
                </c:pt>
                <c:pt idx="23">
                  <c:v>Oct-Dec 2016</c:v>
                </c:pt>
                <c:pt idx="24">
                  <c:v>Jan-Mar 2017</c:v>
                </c:pt>
                <c:pt idx="25">
                  <c:v>Apr-Jun 2017</c:v>
                </c:pt>
                <c:pt idx="26">
                  <c:v>Jul-Sep 2017</c:v>
                </c:pt>
                <c:pt idx="27">
                  <c:v>Oct-Dec 2017</c:v>
                </c:pt>
                <c:pt idx="28">
                  <c:v>Jan-Mar 2018p</c:v>
                </c:pt>
              </c:strCache>
            </c:strRef>
          </c:cat>
          <c:val>
            <c:numRef>
              <c:f>[0]!table1_CMR</c:f>
              <c:numCache>
                <c:formatCode>0.0</c:formatCode>
                <c:ptCount val="29"/>
                <c:pt idx="0">
                  <c:v>3.11918390279875</c:v>
                </c:pt>
                <c:pt idx="1">
                  <c:v>2.8172872765462</c:v>
                </c:pt>
                <c:pt idx="2">
                  <c:v>2.7225296442687701</c:v>
                </c:pt>
                <c:pt idx="3">
                  <c:v>2.9276933621741001</c:v>
                </c:pt>
                <c:pt idx="4">
                  <c:v>2.8655194830354902</c:v>
                </c:pt>
                <c:pt idx="5">
                  <c:v>2.8304934005300799</c:v>
                </c:pt>
                <c:pt idx="6">
                  <c:v>2.67266342734505</c:v>
                </c:pt>
                <c:pt idx="7">
                  <c:v>3.0482876075783598</c:v>
                </c:pt>
                <c:pt idx="8">
                  <c:v>3.07056874654887</c:v>
                </c:pt>
                <c:pt idx="9">
                  <c:v>2.7298201607633801</c:v>
                </c:pt>
                <c:pt idx="10">
                  <c:v>2.59641791307951</c:v>
                </c:pt>
                <c:pt idx="11">
                  <c:v>2.7816840277777799</c:v>
                </c:pt>
                <c:pt idx="12">
                  <c:v>2.7130179659614799</c:v>
                </c:pt>
                <c:pt idx="13">
                  <c:v>2.53725488505623</c:v>
                </c:pt>
                <c:pt idx="14">
                  <c:v>2.6775061614428699</c:v>
                </c:pt>
                <c:pt idx="15">
                  <c:v>2.9429365248984798</c:v>
                </c:pt>
                <c:pt idx="16">
                  <c:v>3.1229295142959099</c:v>
                </c:pt>
                <c:pt idx="17">
                  <c:v>2.7940071327110001</c:v>
                </c:pt>
                <c:pt idx="18">
                  <c:v>2.6313616231511099</c:v>
                </c:pt>
                <c:pt idx="19">
                  <c:v>2.8516656726591099</c:v>
                </c:pt>
                <c:pt idx="20">
                  <c:v>3.0373019841841602</c:v>
                </c:pt>
                <c:pt idx="21">
                  <c:v>2.6307010437020399</c:v>
                </c:pt>
                <c:pt idx="22">
                  <c:v>2.72372844981758</c:v>
                </c:pt>
                <c:pt idx="23">
                  <c:v>3.1204663670783099</c:v>
                </c:pt>
                <c:pt idx="24">
                  <c:v>3.1237157590996101</c:v>
                </c:pt>
                <c:pt idx="25">
                  <c:v>2.8250498272954401</c:v>
                </c:pt>
                <c:pt idx="26">
                  <c:v>2.79201369081574</c:v>
                </c:pt>
                <c:pt idx="27">
                  <c:v>3.3461794019933602</c:v>
                </c:pt>
                <c:pt idx="28">
                  <c:v>3.3477434014084801</c:v>
                </c:pt>
              </c:numCache>
            </c:numRef>
          </c:val>
        </c:ser>
        <c:marker val="1"/>
        <c:axId val="66920448"/>
        <c:axId val="66922368"/>
      </c:lineChart>
      <c:catAx>
        <c:axId val="66920448"/>
        <c:scaling>
          <c:orientation val="minMax"/>
        </c:scaling>
        <c:axPos val="b"/>
        <c:tickLblPos val="nextTo"/>
        <c:txPr>
          <a:bodyPr rot="-5400000"/>
          <a:lstStyle/>
          <a:p>
            <a:pPr>
              <a:defRPr sz="800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66922368"/>
        <c:crosses val="autoZero"/>
        <c:auto val="1"/>
        <c:lblAlgn val="ctr"/>
        <c:lblOffset val="100"/>
      </c:catAx>
      <c:valAx>
        <c:axId val="66922368"/>
        <c:scaling>
          <c:orientation val="minMax"/>
        </c:scaling>
        <c:axPos val="l"/>
        <c:majorGridlines>
          <c:spPr>
            <a:ln w="3175">
              <a:solidFill>
                <a:schemeClr val="tx1"/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r>
                  <a:rPr lang="en-GB">
                    <a:latin typeface="Arial" pitchFamily="34" charset="0"/>
                    <a:cs typeface="Arial" pitchFamily="34" charset="0"/>
                  </a:rPr>
                  <a:t>Crude Mortality</a:t>
                </a:r>
                <a:r>
                  <a:rPr lang="en-GB" baseline="0">
                    <a:latin typeface="Arial" pitchFamily="34" charset="0"/>
                    <a:cs typeface="Arial" pitchFamily="34" charset="0"/>
                  </a:rPr>
                  <a:t> Rate (%)</a:t>
                </a:r>
                <a:endParaRPr lang="en-GB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6.5681444991789817E-3"/>
              <c:y val="0.27041964302026095"/>
            </c:manualLayout>
          </c:layout>
        </c:title>
        <c:numFmt formatCode="0.0" sourceLinked="0"/>
        <c:tickLblPos val="nextTo"/>
        <c:txPr>
          <a:bodyPr/>
          <a:lstStyle/>
          <a:p>
            <a:pPr>
              <a:defRPr sz="900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66920448"/>
        <c:crosses val="autoZero"/>
        <c:crossBetween val="between"/>
        <c:majorUnit val="0.5"/>
      </c:valAx>
      <c:spPr>
        <a:ln w="12700">
          <a:solidFill>
            <a:srgbClr val="808080"/>
          </a:solidFill>
          <a:prstDash val="solid"/>
        </a:ln>
      </c:spPr>
    </c:plotArea>
    <c:legend>
      <c:legendPos val="t"/>
      <c:layout/>
      <c:txPr>
        <a:bodyPr/>
        <a:lstStyle/>
        <a:p>
          <a:pPr>
            <a:defRPr sz="900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>
      <a:noFill/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</xdr:colOff>
      <xdr:row>5</xdr:row>
      <xdr:rowOff>19049</xdr:rowOff>
    </xdr:from>
    <xdr:to>
      <xdr:col>16</xdr:col>
      <xdr:colOff>552449</xdr:colOff>
      <xdr:row>26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15</xdr:col>
      <xdr:colOff>285750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16</xdr:col>
      <xdr:colOff>523875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36</xdr:row>
      <xdr:rowOff>0</xdr:rowOff>
    </xdr:from>
    <xdr:to>
      <xdr:col>16</xdr:col>
      <xdr:colOff>523875</xdr:colOff>
      <xdr:row>57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16</xdr:col>
      <xdr:colOff>523875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3:R42"/>
  <sheetViews>
    <sheetView showGridLines="0" tabSelected="1" workbookViewId="0"/>
  </sheetViews>
  <sheetFormatPr defaultRowHeight="15"/>
  <cols>
    <col min="1" max="1" width="2" style="8" customWidth="1"/>
    <col min="2" max="7" width="14.7109375" style="4" customWidth="1"/>
    <col min="8" max="8" width="9.140625" style="4"/>
    <col min="9" max="9" width="15.28515625" style="34" bestFit="1" customWidth="1"/>
    <col min="10" max="10" width="15.5703125" style="34" bestFit="1" customWidth="1"/>
    <col min="11" max="11" width="4.85546875" style="34" bestFit="1" customWidth="1"/>
    <col min="12" max="12" width="10.42578125" style="34" bestFit="1" customWidth="1"/>
    <col min="13" max="13" width="8.5703125" style="8" customWidth="1"/>
    <col min="14" max="14" width="10.28515625" style="8" customWidth="1"/>
    <col min="15" max="15" width="11.5703125" style="8" customWidth="1"/>
    <col min="16" max="17" width="14" style="8" customWidth="1"/>
    <col min="18" max="16384" width="9.140625" style="4"/>
  </cols>
  <sheetData>
    <row r="3" spans="1:18" ht="20.25" customHeight="1">
      <c r="B3" s="43" t="str">
        <f>"Table 1 - Quarterly Hospital Standardised Mortality Ratios in " &amp; B8</f>
        <v>Table 1 - Quarterly Hospital Standardised Mortality Ratios in Scotland</v>
      </c>
      <c r="C3" s="43"/>
      <c r="D3" s="43"/>
      <c r="E3" s="43"/>
      <c r="F3" s="43"/>
      <c r="G3" s="43"/>
      <c r="H3" s="43"/>
      <c r="I3" s="33"/>
      <c r="J3" s="33"/>
      <c r="K3" s="33"/>
      <c r="L3" s="33"/>
      <c r="M3" s="33"/>
      <c r="N3" s="33"/>
      <c r="O3" s="33"/>
      <c r="P3" s="33"/>
      <c r="Q3" s="33"/>
      <c r="R3" s="29"/>
    </row>
    <row r="4" spans="1:18" ht="20.25" customHeight="1">
      <c r="B4" s="5" t="s">
        <v>32</v>
      </c>
      <c r="C4" s="6"/>
      <c r="D4" s="6"/>
      <c r="E4" s="6"/>
      <c r="F4" s="6"/>
      <c r="G4" s="6"/>
      <c r="H4" s="7"/>
      <c r="I4" s="27"/>
      <c r="J4" s="27"/>
      <c r="K4" s="27"/>
      <c r="L4" s="27"/>
      <c r="M4" s="7"/>
      <c r="N4" s="7"/>
      <c r="O4" s="7"/>
      <c r="P4" s="7"/>
      <c r="Q4" s="7"/>
      <c r="R4" s="7"/>
    </row>
    <row r="5" spans="1:18" ht="15.75" customHeight="1">
      <c r="A5" s="8">
        <v>1</v>
      </c>
      <c r="B5" s="41" t="str">
        <f>"January 2011 - " &amp; VLOOKUP(MOD(MAX($I:$I),4), Sheet1!$A$4:$C$7,3) &amp; " " &amp; MAX($K:$K) &amp; "p"</f>
        <v>January 2011 - March 2018p</v>
      </c>
      <c r="C5" s="9"/>
      <c r="D5" s="9"/>
      <c r="E5" s="9"/>
      <c r="F5" s="9"/>
      <c r="G5" s="9"/>
      <c r="H5" s="10"/>
      <c r="I5" s="28"/>
      <c r="J5" s="28"/>
      <c r="K5" s="28"/>
      <c r="L5" s="28"/>
      <c r="M5" s="10"/>
      <c r="N5" s="10"/>
      <c r="O5" s="10"/>
      <c r="P5" s="10"/>
      <c r="Q5" s="10"/>
      <c r="R5" s="10"/>
    </row>
    <row r="6" spans="1:18">
      <c r="A6" s="8" t="str">
        <f>VLOOKUP($A$5,'HB Code'!$A$1:$C$16,2,0)</f>
        <v>Scot</v>
      </c>
    </row>
    <row r="8" spans="1:18">
      <c r="B8" s="11" t="str">
        <f>VLOOKUP($A$6,'HB Code'!$B$1:$C$16,2,0)</f>
        <v>Scotland</v>
      </c>
      <c r="C8" s="12"/>
      <c r="D8" s="12"/>
      <c r="E8" s="12"/>
      <c r="F8" s="12"/>
      <c r="G8" s="12"/>
    </row>
    <row r="9" spans="1:18" ht="48" customHeight="1">
      <c r="B9" s="13" t="s">
        <v>33</v>
      </c>
      <c r="C9" s="14" t="s">
        <v>34</v>
      </c>
      <c r="D9" s="14" t="s">
        <v>35</v>
      </c>
      <c r="E9" s="14" t="s">
        <v>36</v>
      </c>
      <c r="F9" s="14" t="s">
        <v>37</v>
      </c>
      <c r="G9" s="14" t="s">
        <v>38</v>
      </c>
      <c r="I9" s="34" t="s">
        <v>135</v>
      </c>
      <c r="J9" s="34" t="s">
        <v>136</v>
      </c>
      <c r="K9" s="34" t="s">
        <v>137</v>
      </c>
      <c r="L9" s="34" t="s">
        <v>33</v>
      </c>
      <c r="M9" s="35" t="s">
        <v>39</v>
      </c>
      <c r="N9" s="35" t="s">
        <v>40</v>
      </c>
      <c r="O9" s="36" t="s">
        <v>42</v>
      </c>
      <c r="P9" s="36" t="s">
        <v>43</v>
      </c>
      <c r="Q9" s="37" t="s">
        <v>44</v>
      </c>
    </row>
    <row r="10" spans="1:18" ht="5.25" customHeight="1"/>
    <row r="11" spans="1:18" ht="12.75" customHeight="1">
      <c r="A11" s="32">
        <v>1</v>
      </c>
      <c r="B11" s="15" t="str">
        <f>L11 &amp; IF(Sheet1!$B$2 = (I11+1), "p", "")</f>
        <v>Jan-Mar 2011</v>
      </c>
      <c r="C11" s="16">
        <f ca="1">VLOOKUP(CONCATENATE($A$6, A11), [0]!table_range, 3, 0)</f>
        <v>7106</v>
      </c>
      <c r="D11" s="16">
        <f ca="1">VLOOKUP(CONCATENATE($A$6, A11), [0]!table_range, 4, 0)</f>
        <v>6372.9297329350302</v>
      </c>
      <c r="E11" s="17">
        <f ca="1">VLOOKUP(CONCATENATE($A$6, A11), [0]!table_range, 6, 0)</f>
        <v>1.1150287697786001</v>
      </c>
      <c r="F11" s="18">
        <f ca="1">VLOOKUP(CONCATENATE($A$6, A11), [0]!table_range, 5, 0)</f>
        <v>227816</v>
      </c>
      <c r="G11" s="19">
        <f ca="1">VLOOKUP(CONCATENATE($A$6, A11), [0]!table_range, 7, 0)</f>
        <v>3.11918390279875</v>
      </c>
      <c r="I11" s="34">
        <v>0</v>
      </c>
      <c r="J11" s="34" t="str">
        <f>VLOOKUP(MOD(I11,4), Sheet1!$A$4:$C$7,2)</f>
        <v>Jan-Mar</v>
      </c>
      <c r="K11" s="34">
        <f>2011+QUOTIENT(I11,4)</f>
        <v>2011</v>
      </c>
      <c r="L11" s="34" t="str">
        <f>CONCATENATE(J11, " ", K11)</f>
        <v>Jan-Mar 2011</v>
      </c>
      <c r="M11" s="38">
        <f>1</f>
        <v>1</v>
      </c>
      <c r="N11" s="39"/>
      <c r="O11" s="40">
        <f ca="1">VLOOKUP(CONCATENATE("Scot", A11), [0]!table_range, 3, 0)</f>
        <v>7106</v>
      </c>
      <c r="P11" s="40">
        <f ca="1">VLOOKUP(CONCATENATE("Scot", A11), [0]!table_range, 4, 0)</f>
        <v>6372.9297329350302</v>
      </c>
      <c r="Q11" s="38">
        <f ca="1">VLOOKUP(CONCATENATE("Scot", A11), [0]!table_range, 6, 0)</f>
        <v>1.1150287697786001</v>
      </c>
    </row>
    <row r="12" spans="1:18" ht="12.75" customHeight="1">
      <c r="A12" s="32">
        <f>A11+1</f>
        <v>2</v>
      </c>
      <c r="B12" s="15" t="str">
        <f>L12 &amp; IF(Sheet1!$B$2 = (I12+1), "p", "")</f>
        <v>Apr-Jun 2011</v>
      </c>
      <c r="C12" s="16">
        <f ca="1">VLOOKUP(CONCATENATE($A$6, A12), [0]!table_range, 3, 0)</f>
        <v>6170</v>
      </c>
      <c r="D12" s="16">
        <f ca="1">VLOOKUP(CONCATENATE($A$6, A12), [0]!table_range, 4, 0)</f>
        <v>6056.1587645244599</v>
      </c>
      <c r="E12" s="17">
        <f ca="1">VLOOKUP(CONCATENATE($A$6, A12), [0]!table_range, 6, 0)</f>
        <v>1.0187975976030199</v>
      </c>
      <c r="F12" s="18">
        <f ca="1">VLOOKUP(CONCATENATE($A$6, A12), [0]!table_range, 5, 0)</f>
        <v>219005</v>
      </c>
      <c r="G12" s="19">
        <f ca="1">VLOOKUP(CONCATENATE($A$6, A12), [0]!table_range, 7, 0)</f>
        <v>2.8172872765462</v>
      </c>
      <c r="I12" s="34">
        <f>I11+1</f>
        <v>1</v>
      </c>
      <c r="J12" s="34" t="str">
        <f>VLOOKUP(MOD(I12,4), Sheet1!$A$4:$C$7,2)</f>
        <v>Apr-Jun</v>
      </c>
      <c r="K12" s="34">
        <f t="shared" ref="K12:K39" si="0">2011+QUOTIENT(I12,4)</f>
        <v>2011</v>
      </c>
      <c r="L12" s="34" t="str">
        <f t="shared" ref="L12:L39" si="1">CONCATENATE(J12, " ", K12)</f>
        <v>Apr-Jun 2011</v>
      </c>
      <c r="M12" s="38">
        <f>1</f>
        <v>1</v>
      </c>
      <c r="N12" s="39"/>
      <c r="O12" s="40">
        <f ca="1">VLOOKUP(CONCATENATE("Scot", A12), [0]!table_range, 3, 0)</f>
        <v>6170</v>
      </c>
      <c r="P12" s="40">
        <f ca="1">VLOOKUP(CONCATENATE("Scot", A12), [0]!table_range, 4, 0)</f>
        <v>6056.1587645244599</v>
      </c>
      <c r="Q12" s="38">
        <f ca="1">VLOOKUP(CONCATENATE("Scot", A12), [0]!table_range, 6, 0)</f>
        <v>1.0187975976030199</v>
      </c>
    </row>
    <row r="13" spans="1:18" ht="12.75" customHeight="1">
      <c r="A13" s="32">
        <f t="shared" ref="A13:A39" si="2">A12+1</f>
        <v>3</v>
      </c>
      <c r="B13" s="15" t="str">
        <f>L13 &amp; IF(Sheet1!$B$2 = (I13+1), "p", "")</f>
        <v>Jul-Sep 2011</v>
      </c>
      <c r="C13" s="16">
        <f ca="1">VLOOKUP(CONCATENATE($A$6, A13), [0]!table_range, 3, 0)</f>
        <v>6027</v>
      </c>
      <c r="D13" s="16">
        <f ca="1">VLOOKUP(CONCATENATE($A$6, A13), [0]!table_range, 4, 0)</f>
        <v>6017.7646621967697</v>
      </c>
      <c r="E13" s="17">
        <f ca="1">VLOOKUP(CONCATENATE($A$6, A13), [0]!table_range, 6, 0)</f>
        <v>1.0015346791244999</v>
      </c>
      <c r="F13" s="18">
        <f ca="1">VLOOKUP(CONCATENATE($A$6, A13), [0]!table_range, 5, 0)</f>
        <v>221375</v>
      </c>
      <c r="G13" s="19">
        <f ca="1">VLOOKUP(CONCATENATE($A$6, A13), [0]!table_range, 7, 0)</f>
        <v>2.7225296442687701</v>
      </c>
      <c r="I13" s="34">
        <f>I12+1</f>
        <v>2</v>
      </c>
      <c r="J13" s="34" t="str">
        <f>VLOOKUP(MOD(I13,4), Sheet1!$A$4:$C$7,2)</f>
        <v>Jul-Sep</v>
      </c>
      <c r="K13" s="34">
        <f t="shared" si="0"/>
        <v>2011</v>
      </c>
      <c r="L13" s="34" t="str">
        <f t="shared" si="1"/>
        <v>Jul-Sep 2011</v>
      </c>
      <c r="M13" s="38">
        <f>1</f>
        <v>1</v>
      </c>
      <c r="N13" s="39"/>
      <c r="O13" s="40">
        <f ca="1">VLOOKUP(CONCATENATE("Scot", A13), [0]!table_range, 3, 0)</f>
        <v>6027</v>
      </c>
      <c r="P13" s="40">
        <f ca="1">VLOOKUP(CONCATENATE("Scot", A13), [0]!table_range, 4, 0)</f>
        <v>6017.7646621967697</v>
      </c>
      <c r="Q13" s="38">
        <f ca="1">VLOOKUP(CONCATENATE("Scot", A13), [0]!table_range, 6, 0)</f>
        <v>1.0015346791244999</v>
      </c>
    </row>
    <row r="14" spans="1:18" ht="12.75" customHeight="1">
      <c r="A14" s="32">
        <f t="shared" si="2"/>
        <v>4</v>
      </c>
      <c r="B14" s="15" t="str">
        <f>L14 &amp; IF(Sheet1!$B$2 = (I14+1), "p", "")</f>
        <v>Oct-Dec 2011</v>
      </c>
      <c r="C14" s="16">
        <f ca="1">VLOOKUP(CONCATENATE($A$6, A14), [0]!table_range, 3, 0)</f>
        <v>6578</v>
      </c>
      <c r="D14" s="16">
        <f ca="1">VLOOKUP(CONCATENATE($A$6, A14), [0]!table_range, 4, 0)</f>
        <v>6432.66648210946</v>
      </c>
      <c r="E14" s="17">
        <f ca="1">VLOOKUP(CONCATENATE($A$6, A14), [0]!table_range, 6, 0)</f>
        <v>1.0225930441590201</v>
      </c>
      <c r="F14" s="18">
        <f ca="1">VLOOKUP(CONCATENATE($A$6, A14), [0]!table_range, 5, 0)</f>
        <v>224682</v>
      </c>
      <c r="G14" s="19">
        <f ca="1">VLOOKUP(CONCATENATE($A$6, A14), [0]!table_range, 7, 0)</f>
        <v>2.9276933621741001</v>
      </c>
      <c r="I14" s="34">
        <f t="shared" ref="I14:I39" si="3">I13+1</f>
        <v>3</v>
      </c>
      <c r="J14" s="34" t="str">
        <f>VLOOKUP(MOD(I14,4), Sheet1!$A$4:$C$7,2)</f>
        <v>Oct-Dec</v>
      </c>
      <c r="K14" s="34">
        <f t="shared" si="0"/>
        <v>2011</v>
      </c>
      <c r="L14" s="34" t="str">
        <f t="shared" si="1"/>
        <v>Oct-Dec 2011</v>
      </c>
      <c r="M14" s="38">
        <f>1</f>
        <v>1</v>
      </c>
      <c r="N14" s="39"/>
      <c r="O14" s="40">
        <f ca="1">VLOOKUP(CONCATENATE("Scot", A14), [0]!table_range, 3, 0)</f>
        <v>6578</v>
      </c>
      <c r="P14" s="40">
        <f ca="1">VLOOKUP(CONCATENATE("Scot", A14), [0]!table_range, 4, 0)</f>
        <v>6432.66648210946</v>
      </c>
      <c r="Q14" s="38">
        <f ca="1">VLOOKUP(CONCATENATE("Scot", A14), [0]!table_range, 6, 0)</f>
        <v>1.0225930441590201</v>
      </c>
    </row>
    <row r="15" spans="1:18" ht="12.75" customHeight="1">
      <c r="A15" s="32">
        <f t="shared" si="2"/>
        <v>5</v>
      </c>
      <c r="B15" s="15" t="str">
        <f>L15 &amp; IF(Sheet1!$B$2 = (I15+1), "p", "")</f>
        <v>Jan-Mar 2012</v>
      </c>
      <c r="C15" s="16">
        <f ca="1">VLOOKUP(CONCATENATE($A$6, A15), [0]!table_range, 3, 0)</f>
        <v>6656</v>
      </c>
      <c r="D15" s="16">
        <f ca="1">VLOOKUP(CONCATENATE($A$6, A15), [0]!table_range, 4, 0)</f>
        <v>6672.3286646571696</v>
      </c>
      <c r="E15" s="17">
        <f ca="1">VLOOKUP(CONCATENATE($A$6, A15), [0]!table_range, 6, 0)</f>
        <v>0.99755277872571602</v>
      </c>
      <c r="F15" s="18">
        <f ca="1">VLOOKUP(CONCATENATE($A$6, A15), [0]!table_range, 5, 0)</f>
        <v>232279</v>
      </c>
      <c r="G15" s="19">
        <f ca="1">VLOOKUP(CONCATENATE($A$6, A15), [0]!table_range, 7, 0)</f>
        <v>2.8655194830354902</v>
      </c>
      <c r="I15" s="34">
        <f t="shared" si="3"/>
        <v>4</v>
      </c>
      <c r="J15" s="34" t="str">
        <f>VLOOKUP(MOD(I15,4), Sheet1!$A$4:$C$7,2)</f>
        <v>Jan-Mar</v>
      </c>
      <c r="K15" s="34">
        <f t="shared" si="0"/>
        <v>2012</v>
      </c>
      <c r="L15" s="34" t="str">
        <f t="shared" si="1"/>
        <v>Jan-Mar 2012</v>
      </c>
      <c r="M15" s="38">
        <f>1</f>
        <v>1</v>
      </c>
      <c r="N15" s="39"/>
      <c r="O15" s="40">
        <f ca="1">VLOOKUP(CONCATENATE("Scot", A15), [0]!table_range, 3, 0)</f>
        <v>6656</v>
      </c>
      <c r="P15" s="40">
        <f ca="1">VLOOKUP(CONCATENATE("Scot", A15), [0]!table_range, 4, 0)</f>
        <v>6672.3286646571696</v>
      </c>
      <c r="Q15" s="38">
        <f ca="1">VLOOKUP(CONCATENATE("Scot", A15), [0]!table_range, 6, 0)</f>
        <v>0.99755277872571602</v>
      </c>
    </row>
    <row r="16" spans="1:18" ht="12.75" customHeight="1">
      <c r="A16" s="32">
        <f t="shared" si="2"/>
        <v>6</v>
      </c>
      <c r="B16" s="15" t="str">
        <f>L16 &amp; IF(Sheet1!$B$2 = (I16+1), "p", "")</f>
        <v>Apr-Jun 2012</v>
      </c>
      <c r="C16" s="16">
        <f ca="1">VLOOKUP(CONCATENATE($A$6, A16), [0]!table_range, 3, 0)</f>
        <v>6397</v>
      </c>
      <c r="D16" s="16">
        <f ca="1">VLOOKUP(CONCATENATE($A$6, A16), [0]!table_range, 4, 0)</f>
        <v>6535.0266379310997</v>
      </c>
      <c r="E16" s="17">
        <f ca="1">VLOOKUP(CONCATENATE($A$6, A16), [0]!table_range, 6, 0)</f>
        <v>0.97887894792502395</v>
      </c>
      <c r="F16" s="18">
        <f ca="1">VLOOKUP(CONCATENATE($A$6, A16), [0]!table_range, 5, 0)</f>
        <v>226003</v>
      </c>
      <c r="G16" s="19">
        <f ca="1">VLOOKUP(CONCATENATE($A$6, A16), [0]!table_range, 7, 0)</f>
        <v>2.8304934005300799</v>
      </c>
      <c r="I16" s="34">
        <f t="shared" si="3"/>
        <v>5</v>
      </c>
      <c r="J16" s="34" t="str">
        <f>VLOOKUP(MOD(I16,4), Sheet1!$A$4:$C$7,2)</f>
        <v>Apr-Jun</v>
      </c>
      <c r="K16" s="34">
        <f t="shared" si="0"/>
        <v>2012</v>
      </c>
      <c r="L16" s="34" t="str">
        <f t="shared" si="1"/>
        <v>Apr-Jun 2012</v>
      </c>
      <c r="M16" s="38">
        <f>1</f>
        <v>1</v>
      </c>
      <c r="N16" s="39"/>
      <c r="O16" s="40">
        <f ca="1">VLOOKUP(CONCATENATE("Scot", A16), [0]!table_range, 3, 0)</f>
        <v>6397</v>
      </c>
      <c r="P16" s="40">
        <f ca="1">VLOOKUP(CONCATENATE("Scot", A16), [0]!table_range, 4, 0)</f>
        <v>6535.0266379310997</v>
      </c>
      <c r="Q16" s="38">
        <f ca="1">VLOOKUP(CONCATENATE("Scot", A16), [0]!table_range, 6, 0)</f>
        <v>0.97887894792502395</v>
      </c>
    </row>
    <row r="17" spans="1:17" ht="12.75" customHeight="1">
      <c r="A17" s="32">
        <f t="shared" si="2"/>
        <v>7</v>
      </c>
      <c r="B17" s="15" t="str">
        <f>L17 &amp; IF(Sheet1!$B$2 = (I17+1), "p", "")</f>
        <v>Jul-Sep 2012</v>
      </c>
      <c r="C17" s="16">
        <f ca="1">VLOOKUP(CONCATENATE($A$6, A17), [0]!table_range, 3, 0)</f>
        <v>5990</v>
      </c>
      <c r="D17" s="16">
        <f ca="1">VLOOKUP(CONCATENATE($A$6, A17), [0]!table_range, 4, 0)</f>
        <v>6278.7903855907398</v>
      </c>
      <c r="E17" s="17">
        <f ca="1">VLOOKUP(CONCATENATE($A$6, A17), [0]!table_range, 6, 0)</f>
        <v>0.95400541061961697</v>
      </c>
      <c r="F17" s="18">
        <f ca="1">VLOOKUP(CONCATENATE($A$6, A17), [0]!table_range, 5, 0)</f>
        <v>224121</v>
      </c>
      <c r="G17" s="19">
        <f ca="1">VLOOKUP(CONCATENATE($A$6, A17), [0]!table_range, 7, 0)</f>
        <v>2.67266342734505</v>
      </c>
      <c r="I17" s="34">
        <f t="shared" si="3"/>
        <v>6</v>
      </c>
      <c r="J17" s="34" t="str">
        <f>VLOOKUP(MOD(I17,4), Sheet1!$A$4:$C$7,2)</f>
        <v>Jul-Sep</v>
      </c>
      <c r="K17" s="34">
        <f t="shared" si="0"/>
        <v>2012</v>
      </c>
      <c r="L17" s="34" t="str">
        <f t="shared" si="1"/>
        <v>Jul-Sep 2012</v>
      </c>
      <c r="M17" s="38">
        <f>1</f>
        <v>1</v>
      </c>
      <c r="N17" s="39"/>
      <c r="O17" s="40">
        <f ca="1">VLOOKUP(CONCATENATE("Scot", A17), [0]!table_range, 3, 0)</f>
        <v>5990</v>
      </c>
      <c r="P17" s="40">
        <f ca="1">VLOOKUP(CONCATENATE("Scot", A17), [0]!table_range, 4, 0)</f>
        <v>6278.7903855907398</v>
      </c>
      <c r="Q17" s="38">
        <f ca="1">VLOOKUP(CONCATENATE("Scot", A17), [0]!table_range, 6, 0)</f>
        <v>0.95400541061961697</v>
      </c>
    </row>
    <row r="18" spans="1:17" ht="12.75" customHeight="1">
      <c r="A18" s="32">
        <f t="shared" si="2"/>
        <v>8</v>
      </c>
      <c r="B18" s="15" t="str">
        <f>L18 &amp; IF(Sheet1!$B$2 = (I18+1), "p", "")</f>
        <v>Oct-Dec 2012</v>
      </c>
      <c r="C18" s="16">
        <f ca="1">VLOOKUP(CONCATENATE($A$6, A18), [0]!table_range, 3, 0)</f>
        <v>7052</v>
      </c>
      <c r="D18" s="16">
        <f ca="1">VLOOKUP(CONCATENATE($A$6, A18), [0]!table_range, 4, 0)</f>
        <v>6728.1598467599097</v>
      </c>
      <c r="E18" s="17">
        <f ca="1">VLOOKUP(CONCATENATE($A$6, A18), [0]!table_range, 6, 0)</f>
        <v>1.0481320540260399</v>
      </c>
      <c r="F18" s="18">
        <f ca="1">VLOOKUP(CONCATENATE($A$6, A18), [0]!table_range, 5, 0)</f>
        <v>231343</v>
      </c>
      <c r="G18" s="19">
        <f ca="1">VLOOKUP(CONCATENATE($A$6, A18), [0]!table_range, 7, 0)</f>
        <v>3.0482876075783598</v>
      </c>
      <c r="I18" s="34">
        <f t="shared" si="3"/>
        <v>7</v>
      </c>
      <c r="J18" s="34" t="str">
        <f>VLOOKUP(MOD(I18,4), Sheet1!$A$4:$C$7,2)</f>
        <v>Oct-Dec</v>
      </c>
      <c r="K18" s="34">
        <f t="shared" si="0"/>
        <v>2012</v>
      </c>
      <c r="L18" s="34" t="str">
        <f t="shared" si="1"/>
        <v>Oct-Dec 2012</v>
      </c>
      <c r="M18" s="38">
        <f>1</f>
        <v>1</v>
      </c>
      <c r="N18" s="39"/>
      <c r="O18" s="40">
        <f ca="1">VLOOKUP(CONCATENATE("Scot", A18), [0]!table_range, 3, 0)</f>
        <v>7052</v>
      </c>
      <c r="P18" s="40">
        <f ca="1">VLOOKUP(CONCATENATE("Scot", A18), [0]!table_range, 4, 0)</f>
        <v>6728.1598467599097</v>
      </c>
      <c r="Q18" s="38">
        <f ca="1">VLOOKUP(CONCATENATE("Scot", A18), [0]!table_range, 6, 0)</f>
        <v>1.0481320540260399</v>
      </c>
    </row>
    <row r="19" spans="1:17" ht="12.75" customHeight="1">
      <c r="A19" s="32">
        <f t="shared" si="2"/>
        <v>9</v>
      </c>
      <c r="B19" s="15" t="str">
        <f>L19 &amp; IF(Sheet1!$B$2 = (I19+1), "p", "")</f>
        <v>Jan-Mar 2013</v>
      </c>
      <c r="C19" s="16">
        <f ca="1">VLOOKUP(CONCATENATE($A$6, A19), [0]!table_range, 3, 0)</f>
        <v>6951</v>
      </c>
      <c r="D19" s="16">
        <f ca="1">VLOOKUP(CONCATENATE($A$6, A19), [0]!table_range, 4, 0)</f>
        <v>6778.86133281403</v>
      </c>
      <c r="E19" s="17">
        <f ca="1">VLOOKUP(CONCATENATE($A$6, A19), [0]!table_range, 6, 0)</f>
        <v>1.0253934486537899</v>
      </c>
      <c r="F19" s="18">
        <f ca="1">VLOOKUP(CONCATENATE($A$6, A19), [0]!table_range, 5, 0)</f>
        <v>226375</v>
      </c>
      <c r="G19" s="19">
        <f ca="1">VLOOKUP(CONCATENATE($A$6, A19), [0]!table_range, 7, 0)</f>
        <v>3.07056874654887</v>
      </c>
      <c r="I19" s="34">
        <f t="shared" si="3"/>
        <v>8</v>
      </c>
      <c r="J19" s="34" t="str">
        <f>VLOOKUP(MOD(I19,4), Sheet1!$A$4:$C$7,2)</f>
        <v>Jan-Mar</v>
      </c>
      <c r="K19" s="34">
        <f t="shared" si="0"/>
        <v>2013</v>
      </c>
      <c r="L19" s="34" t="str">
        <f t="shared" si="1"/>
        <v>Jan-Mar 2013</v>
      </c>
      <c r="M19" s="38">
        <f>1</f>
        <v>1</v>
      </c>
      <c r="N19" s="39"/>
      <c r="O19" s="40">
        <f ca="1">VLOOKUP(CONCATENATE("Scot", A19), [0]!table_range, 3, 0)</f>
        <v>6951</v>
      </c>
      <c r="P19" s="40">
        <f ca="1">VLOOKUP(CONCATENATE("Scot", A19), [0]!table_range, 4, 0)</f>
        <v>6778.86133281403</v>
      </c>
      <c r="Q19" s="38">
        <f ca="1">VLOOKUP(CONCATENATE("Scot", A19), [0]!table_range, 6, 0)</f>
        <v>1.0253934486537899</v>
      </c>
    </row>
    <row r="20" spans="1:17" ht="12.75" customHeight="1">
      <c r="A20" s="32">
        <f t="shared" si="2"/>
        <v>10</v>
      </c>
      <c r="B20" s="15" t="str">
        <f>L20 &amp; IF(Sheet1!$B$2 = (I20+1), "p", "")</f>
        <v>Apr-Jun 2013</v>
      </c>
      <c r="C20" s="16">
        <f ca="1">VLOOKUP(CONCATENATE($A$6, A20), [0]!table_range, 3, 0)</f>
        <v>6225</v>
      </c>
      <c r="D20" s="16">
        <f ca="1">VLOOKUP(CONCATENATE($A$6, A20), [0]!table_range, 4, 0)</f>
        <v>6510.8861032762497</v>
      </c>
      <c r="E20" s="17">
        <f ca="1">VLOOKUP(CONCATENATE($A$6, A20), [0]!table_range, 6, 0)</f>
        <v>0.95609106061118299</v>
      </c>
      <c r="F20" s="18">
        <f ca="1">VLOOKUP(CONCATENATE($A$6, A20), [0]!table_range, 5, 0)</f>
        <v>228037</v>
      </c>
      <c r="G20" s="19">
        <f ca="1">VLOOKUP(CONCATENATE($A$6, A20), [0]!table_range, 7, 0)</f>
        <v>2.7298201607633801</v>
      </c>
      <c r="I20" s="34">
        <f t="shared" si="3"/>
        <v>9</v>
      </c>
      <c r="J20" s="34" t="str">
        <f>VLOOKUP(MOD(I20,4), Sheet1!$A$4:$C$7,2)</f>
        <v>Apr-Jun</v>
      </c>
      <c r="K20" s="34">
        <f t="shared" si="0"/>
        <v>2013</v>
      </c>
      <c r="L20" s="34" t="str">
        <f t="shared" si="1"/>
        <v>Apr-Jun 2013</v>
      </c>
      <c r="M20" s="38">
        <f>1</f>
        <v>1</v>
      </c>
      <c r="N20" s="39"/>
      <c r="O20" s="40">
        <f ca="1">VLOOKUP(CONCATENATE("Scot", A20), [0]!table_range, 3, 0)</f>
        <v>6225</v>
      </c>
      <c r="P20" s="40">
        <f ca="1">VLOOKUP(CONCATENATE("Scot", A20), [0]!table_range, 4, 0)</f>
        <v>6510.8861032762497</v>
      </c>
      <c r="Q20" s="38">
        <f ca="1">VLOOKUP(CONCATENATE("Scot", A20), [0]!table_range, 6, 0)</f>
        <v>0.95609106061118299</v>
      </c>
    </row>
    <row r="21" spans="1:17" ht="12.75" customHeight="1">
      <c r="A21" s="32">
        <f t="shared" si="2"/>
        <v>11</v>
      </c>
      <c r="B21" s="15" t="str">
        <f>L21 &amp; IF(Sheet1!$B$2 = (I21+1), "p", "")</f>
        <v>Jul-Sep 2013</v>
      </c>
      <c r="C21" s="16">
        <f ca="1">VLOOKUP(CONCATENATE($A$6, A21), [0]!table_range, 3, 0)</f>
        <v>5890</v>
      </c>
      <c r="D21" s="16">
        <f ca="1">VLOOKUP(CONCATENATE($A$6, A21), [0]!table_range, 4, 0)</f>
        <v>6399.2597740491001</v>
      </c>
      <c r="E21" s="17">
        <f ca="1">VLOOKUP(CONCATENATE($A$6, A21), [0]!table_range, 6, 0)</f>
        <v>0.92041895593701395</v>
      </c>
      <c r="F21" s="18">
        <f ca="1">VLOOKUP(CONCATENATE($A$6, A21), [0]!table_range, 5, 0)</f>
        <v>226851</v>
      </c>
      <c r="G21" s="19">
        <f ca="1">VLOOKUP(CONCATENATE($A$6, A21), [0]!table_range, 7, 0)</f>
        <v>2.59641791307951</v>
      </c>
      <c r="I21" s="34">
        <f t="shared" si="3"/>
        <v>10</v>
      </c>
      <c r="J21" s="34" t="str">
        <f>VLOOKUP(MOD(I21,4), Sheet1!$A$4:$C$7,2)</f>
        <v>Jul-Sep</v>
      </c>
      <c r="K21" s="34">
        <f t="shared" si="0"/>
        <v>2013</v>
      </c>
      <c r="L21" s="34" t="str">
        <f t="shared" si="1"/>
        <v>Jul-Sep 2013</v>
      </c>
      <c r="M21" s="38">
        <f>1</f>
        <v>1</v>
      </c>
      <c r="N21" s="39"/>
      <c r="O21" s="40">
        <f ca="1">VLOOKUP(CONCATENATE("Scot", A21), [0]!table_range, 3, 0)</f>
        <v>5890</v>
      </c>
      <c r="P21" s="40">
        <f ca="1">VLOOKUP(CONCATENATE("Scot", A21), [0]!table_range, 4, 0)</f>
        <v>6399.2597740491001</v>
      </c>
      <c r="Q21" s="38">
        <f ca="1">VLOOKUP(CONCATENATE("Scot", A21), [0]!table_range, 6, 0)</f>
        <v>0.92041895593701395</v>
      </c>
    </row>
    <row r="22" spans="1:17" ht="12.75" customHeight="1">
      <c r="A22" s="32">
        <f t="shared" si="2"/>
        <v>12</v>
      </c>
      <c r="B22" s="15" t="str">
        <f>L22 &amp; IF(Sheet1!$B$2 = (I22+1), "p", "")</f>
        <v>Oct-Dec 2013</v>
      </c>
      <c r="C22" s="16">
        <f ca="1">VLOOKUP(CONCATENATE($A$6, A22), [0]!table_range, 3, 0)</f>
        <v>6409</v>
      </c>
      <c r="D22" s="16">
        <f ca="1">VLOOKUP(CONCATENATE($A$6, A22), [0]!table_range, 4, 0)</f>
        <v>6668.1681313213403</v>
      </c>
      <c r="E22" s="17">
        <f ca="1">VLOOKUP(CONCATENATE($A$6, A22), [0]!table_range, 6, 0)</f>
        <v>0.96113353379558797</v>
      </c>
      <c r="F22" s="18">
        <f ca="1">VLOOKUP(CONCATENATE($A$6, A22), [0]!table_range, 5, 0)</f>
        <v>230400</v>
      </c>
      <c r="G22" s="19">
        <f ca="1">VLOOKUP(CONCATENATE($A$6, A22), [0]!table_range, 7, 0)</f>
        <v>2.7816840277777799</v>
      </c>
      <c r="I22" s="34">
        <f t="shared" si="3"/>
        <v>11</v>
      </c>
      <c r="J22" s="34" t="str">
        <f>VLOOKUP(MOD(I22,4), Sheet1!$A$4:$C$7,2)</f>
        <v>Oct-Dec</v>
      </c>
      <c r="K22" s="34">
        <f t="shared" si="0"/>
        <v>2013</v>
      </c>
      <c r="L22" s="34" t="str">
        <f t="shared" si="1"/>
        <v>Oct-Dec 2013</v>
      </c>
      <c r="M22" s="38">
        <f>1</f>
        <v>1</v>
      </c>
      <c r="N22" s="39"/>
      <c r="O22" s="40">
        <f ca="1">VLOOKUP(CONCATENATE("Scot", A22), [0]!table_range, 3, 0)</f>
        <v>6409</v>
      </c>
      <c r="P22" s="40">
        <f ca="1">VLOOKUP(CONCATENATE("Scot", A22), [0]!table_range, 4, 0)</f>
        <v>6668.1681313213403</v>
      </c>
      <c r="Q22" s="38">
        <f ca="1">VLOOKUP(CONCATENATE("Scot", A22), [0]!table_range, 6, 0)</f>
        <v>0.96113353379558797</v>
      </c>
    </row>
    <row r="23" spans="1:17" ht="12.75" customHeight="1">
      <c r="A23" s="32">
        <f t="shared" si="2"/>
        <v>13</v>
      </c>
      <c r="B23" s="15" t="str">
        <f>L23 &amp; IF(Sheet1!$B$2 = (I23+1), "p", "")</f>
        <v>Jan-Mar 2014</v>
      </c>
      <c r="C23" s="16">
        <f ca="1">VLOOKUP(CONCATENATE($A$6, A23), [0]!table_range, 3, 0)</f>
        <v>6362</v>
      </c>
      <c r="D23" s="16">
        <f ca="1">VLOOKUP(CONCATENATE($A$6, A23), [0]!table_range, 4, 0)</f>
        <v>6743.5367507989204</v>
      </c>
      <c r="E23" s="17">
        <f ca="1">VLOOKUP(CONCATENATE($A$6, A23), [0]!table_range, 6, 0)</f>
        <v>0.94342186231079395</v>
      </c>
      <c r="F23" s="18">
        <f ca="1">VLOOKUP(CONCATENATE($A$6, A23), [0]!table_range, 5, 0)</f>
        <v>234499</v>
      </c>
      <c r="G23" s="19">
        <f ca="1">VLOOKUP(CONCATENATE($A$6, A23), [0]!table_range, 7, 0)</f>
        <v>2.7130179659614799</v>
      </c>
      <c r="I23" s="34">
        <f t="shared" si="3"/>
        <v>12</v>
      </c>
      <c r="J23" s="34" t="str">
        <f>VLOOKUP(MOD(I23,4), Sheet1!$A$4:$C$7,2)</f>
        <v>Jan-Mar</v>
      </c>
      <c r="K23" s="34">
        <f t="shared" si="0"/>
        <v>2014</v>
      </c>
      <c r="L23" s="34" t="str">
        <f t="shared" si="1"/>
        <v>Jan-Mar 2014</v>
      </c>
      <c r="M23" s="38">
        <f>1</f>
        <v>1</v>
      </c>
      <c r="N23" s="39">
        <f ca="1">VLOOKUP(CONCATENATE($A$6, A23), [0]!table_range, 12, 0)</f>
        <v>0.98044364312535004</v>
      </c>
      <c r="O23" s="40">
        <f ca="1">VLOOKUP(CONCATENATE("Scot", A23), [0]!table_range, 3, 0)</f>
        <v>6362</v>
      </c>
      <c r="P23" s="40">
        <f ca="1">VLOOKUP(CONCATENATE("Scot", A23), [0]!table_range, 4, 0)</f>
        <v>6743.5367507989204</v>
      </c>
      <c r="Q23" s="38">
        <f ca="1">VLOOKUP(CONCATENATE("Scot", A23), [0]!table_range, 6, 0)</f>
        <v>0.94342186231079395</v>
      </c>
    </row>
    <row r="24" spans="1:17" ht="12.75" customHeight="1">
      <c r="A24" s="32">
        <f t="shared" si="2"/>
        <v>14</v>
      </c>
      <c r="B24" s="15" t="str">
        <f>L24 &amp; IF(Sheet1!$B$2 = (I24+1), "p", "")</f>
        <v>Apr-Jun 2014</v>
      </c>
      <c r="C24" s="16">
        <f ca="1">VLOOKUP(CONCATENATE($A$6, A24), [0]!table_range, 3, 0)</f>
        <v>5886</v>
      </c>
      <c r="D24" s="16">
        <f ca="1">VLOOKUP(CONCATENATE($A$6, A24), [0]!table_range, 4, 0)</f>
        <v>6607.9151616713298</v>
      </c>
      <c r="E24" s="17">
        <f ca="1">VLOOKUP(CONCATENATE($A$6, A24), [0]!table_range, 6, 0)</f>
        <v>0.89074993488736998</v>
      </c>
      <c r="F24" s="18">
        <f ca="1">VLOOKUP(CONCATENATE($A$6, A24), [0]!table_range, 5, 0)</f>
        <v>231983</v>
      </c>
      <c r="G24" s="19">
        <f ca="1">VLOOKUP(CONCATENATE($A$6, A24), [0]!table_range, 7, 0)</f>
        <v>2.53725488505623</v>
      </c>
      <c r="I24" s="34">
        <f t="shared" si="3"/>
        <v>13</v>
      </c>
      <c r="J24" s="34" t="str">
        <f>VLOOKUP(MOD(I24,4), Sheet1!$A$4:$C$7,2)</f>
        <v>Apr-Jun</v>
      </c>
      <c r="K24" s="34">
        <f t="shared" si="0"/>
        <v>2014</v>
      </c>
      <c r="L24" s="34" t="str">
        <f t="shared" si="1"/>
        <v>Apr-Jun 2014</v>
      </c>
      <c r="M24" s="38">
        <f>1</f>
        <v>1</v>
      </c>
      <c r="N24" s="39">
        <f ca="1">VLOOKUP(CONCATENATE($A$6, A24), [0]!table_range, 12, 0)</f>
        <v>0.97396926152691099</v>
      </c>
      <c r="O24" s="40">
        <f ca="1">VLOOKUP(CONCATENATE("Scot", A24), [0]!table_range, 3, 0)</f>
        <v>5886</v>
      </c>
      <c r="P24" s="40">
        <f ca="1">VLOOKUP(CONCATENATE("Scot", A24), [0]!table_range, 4, 0)</f>
        <v>6607.9151616713298</v>
      </c>
      <c r="Q24" s="38">
        <f ca="1">VLOOKUP(CONCATENATE("Scot", A24), [0]!table_range, 6, 0)</f>
        <v>0.89074993488736998</v>
      </c>
    </row>
    <row r="25" spans="1:17" ht="12.75" customHeight="1">
      <c r="A25" s="32">
        <f t="shared" si="2"/>
        <v>15</v>
      </c>
      <c r="B25" s="15" t="str">
        <f>L25 &amp; IF(Sheet1!$B$2 = (I25+1), "p", "")</f>
        <v>Jul-Sep 2014</v>
      </c>
      <c r="C25" s="16">
        <f ca="1">VLOOKUP(CONCATENATE($A$6, A25), [0]!table_range, 3, 0)</f>
        <v>6149</v>
      </c>
      <c r="D25" s="16">
        <f ca="1">VLOOKUP(CONCATENATE($A$6, A25), [0]!table_range, 4, 0)</f>
        <v>6615.1307090764403</v>
      </c>
      <c r="E25" s="17">
        <f ca="1">VLOOKUP(CONCATENATE($A$6, A25), [0]!table_range, 6, 0)</f>
        <v>0.92953567668181203</v>
      </c>
      <c r="F25" s="18">
        <f ca="1">VLOOKUP(CONCATENATE($A$6, A25), [0]!table_range, 5, 0)</f>
        <v>229654</v>
      </c>
      <c r="G25" s="19">
        <f ca="1">VLOOKUP(CONCATENATE($A$6, A25), [0]!table_range, 7, 0)</f>
        <v>2.6775061614428699</v>
      </c>
      <c r="I25" s="34">
        <f t="shared" si="3"/>
        <v>14</v>
      </c>
      <c r="J25" s="34" t="str">
        <f>VLOOKUP(MOD(I25,4), Sheet1!$A$4:$C$7,2)</f>
        <v>Jul-Sep</v>
      </c>
      <c r="K25" s="34">
        <f t="shared" si="0"/>
        <v>2014</v>
      </c>
      <c r="L25" s="34" t="str">
        <f t="shared" si="1"/>
        <v>Jul-Sep 2014</v>
      </c>
      <c r="M25" s="38">
        <f>1</f>
        <v>1</v>
      </c>
      <c r="N25" s="39">
        <f ca="1">VLOOKUP(CONCATENATE($A$6, A25), [0]!table_range, 12, 0)</f>
        <v>0.96749487992847105</v>
      </c>
      <c r="O25" s="40">
        <f ca="1">VLOOKUP(CONCATENATE("Scot", A25), [0]!table_range, 3, 0)</f>
        <v>6149</v>
      </c>
      <c r="P25" s="40">
        <f ca="1">VLOOKUP(CONCATENATE("Scot", A25), [0]!table_range, 4, 0)</f>
        <v>6615.1307090764403</v>
      </c>
      <c r="Q25" s="38">
        <f ca="1">VLOOKUP(CONCATENATE("Scot", A25), [0]!table_range, 6, 0)</f>
        <v>0.92953567668181203</v>
      </c>
    </row>
    <row r="26" spans="1:17" ht="12.75" customHeight="1">
      <c r="A26" s="32">
        <f t="shared" si="2"/>
        <v>16</v>
      </c>
      <c r="B26" s="15" t="str">
        <f>L26 &amp; IF(Sheet1!$B$2 = (I26+1), "p", "")</f>
        <v>Oct-Dec 2014</v>
      </c>
      <c r="C26" s="16">
        <f ca="1">VLOOKUP(CONCATENATE($A$6, A26), [0]!table_range, 3, 0)</f>
        <v>6885</v>
      </c>
      <c r="D26" s="16">
        <f ca="1">VLOOKUP(CONCATENATE($A$6, A26), [0]!table_range, 4, 0)</f>
        <v>7039.6962271715702</v>
      </c>
      <c r="E26" s="17">
        <f ca="1">VLOOKUP(CONCATENATE($A$6, A26), [0]!table_range, 6, 0)</f>
        <v>0.97802515589032402</v>
      </c>
      <c r="F26" s="18">
        <f ca="1">VLOOKUP(CONCATENATE($A$6, A26), [0]!table_range, 5, 0)</f>
        <v>233950</v>
      </c>
      <c r="G26" s="19">
        <f ca="1">VLOOKUP(CONCATENATE($A$6, A26), [0]!table_range, 7, 0)</f>
        <v>2.9429365248984798</v>
      </c>
      <c r="I26" s="34">
        <f t="shared" si="3"/>
        <v>15</v>
      </c>
      <c r="J26" s="34" t="str">
        <f>VLOOKUP(MOD(I26,4), Sheet1!$A$4:$C$7,2)</f>
        <v>Oct-Dec</v>
      </c>
      <c r="K26" s="34">
        <f t="shared" si="0"/>
        <v>2014</v>
      </c>
      <c r="L26" s="34" t="str">
        <f t="shared" si="1"/>
        <v>Oct-Dec 2014</v>
      </c>
      <c r="M26" s="38">
        <f>1</f>
        <v>1</v>
      </c>
      <c r="N26" s="39">
        <f ca="1">VLOOKUP(CONCATENATE($A$6, A26), [0]!table_range, 12, 0)</f>
        <v>0.961020498330032</v>
      </c>
      <c r="O26" s="40">
        <f ca="1">VLOOKUP(CONCATENATE("Scot", A26), [0]!table_range, 3, 0)</f>
        <v>6885</v>
      </c>
      <c r="P26" s="40">
        <f ca="1">VLOOKUP(CONCATENATE("Scot", A26), [0]!table_range, 4, 0)</f>
        <v>7039.6962271715702</v>
      </c>
      <c r="Q26" s="38">
        <f ca="1">VLOOKUP(CONCATENATE("Scot", A26), [0]!table_range, 6, 0)</f>
        <v>0.97802515589032402</v>
      </c>
    </row>
    <row r="27" spans="1:17" ht="12.75" customHeight="1">
      <c r="A27" s="32">
        <f t="shared" si="2"/>
        <v>17</v>
      </c>
      <c r="B27" s="15" t="str">
        <f>L27 &amp; IF(Sheet1!$B$2 = (I27+1), "p", "")</f>
        <v>Jan-Mar 2015</v>
      </c>
      <c r="C27" s="16">
        <f ca="1">VLOOKUP(CONCATENATE($A$6, A27), [0]!table_range, 3, 0)</f>
        <v>7353</v>
      </c>
      <c r="D27" s="16">
        <f ca="1">VLOOKUP(CONCATENATE($A$6, A27), [0]!table_range, 4, 0)</f>
        <v>7364.41612065972</v>
      </c>
      <c r="E27" s="17">
        <f ca="1">VLOOKUP(CONCATENATE($A$6, A27), [0]!table_range, 6, 0)</f>
        <v>0.99844982677883998</v>
      </c>
      <c r="F27" s="18">
        <f ca="1">VLOOKUP(CONCATENATE($A$6, A27), [0]!table_range, 5, 0)</f>
        <v>235452</v>
      </c>
      <c r="G27" s="19">
        <f ca="1">VLOOKUP(CONCATENATE($A$6, A27), [0]!table_range, 7, 0)</f>
        <v>3.1229295142959099</v>
      </c>
      <c r="I27" s="34">
        <f t="shared" si="3"/>
        <v>16</v>
      </c>
      <c r="J27" s="34" t="str">
        <f>VLOOKUP(MOD(I27,4), Sheet1!$A$4:$C$7,2)</f>
        <v>Jan-Mar</v>
      </c>
      <c r="K27" s="34">
        <f t="shared" si="0"/>
        <v>2015</v>
      </c>
      <c r="L27" s="34" t="str">
        <f t="shared" si="1"/>
        <v>Jan-Mar 2015</v>
      </c>
      <c r="M27" s="38">
        <f>1</f>
        <v>1</v>
      </c>
      <c r="N27" s="39">
        <f ca="1">VLOOKUP(CONCATENATE($A$6, A27), [0]!table_range, 12, 0)</f>
        <v>0.95454611673159295</v>
      </c>
      <c r="O27" s="40">
        <f ca="1">VLOOKUP(CONCATENATE("Scot", A27), [0]!table_range, 3, 0)</f>
        <v>7353</v>
      </c>
      <c r="P27" s="40">
        <f ca="1">VLOOKUP(CONCATENATE("Scot", A27), [0]!table_range, 4, 0)</f>
        <v>7364.41612065972</v>
      </c>
      <c r="Q27" s="38">
        <f ca="1">VLOOKUP(CONCATENATE("Scot", A27), [0]!table_range, 6, 0)</f>
        <v>0.99844982677883998</v>
      </c>
    </row>
    <row r="28" spans="1:17" ht="12.75" customHeight="1">
      <c r="A28" s="32">
        <f t="shared" si="2"/>
        <v>18</v>
      </c>
      <c r="B28" s="15" t="str">
        <f>L28 &amp; IF(Sheet1!$B$2 = (I28+1), "p", "")</f>
        <v>Apr-Jun 2015</v>
      </c>
      <c r="C28" s="16">
        <f ca="1">VLOOKUP(CONCATENATE($A$6, A28), [0]!table_range, 3, 0)</f>
        <v>6432</v>
      </c>
      <c r="D28" s="16">
        <f ca="1">VLOOKUP(CONCATENATE($A$6, A28), [0]!table_range, 4, 0)</f>
        <v>6943.1125834547702</v>
      </c>
      <c r="E28" s="17">
        <f ca="1">VLOOKUP(CONCATENATE($A$6, A28), [0]!table_range, 6, 0)</f>
        <v>0.92638566963860902</v>
      </c>
      <c r="F28" s="18">
        <f ca="1">VLOOKUP(CONCATENATE($A$6, A28), [0]!table_range, 5, 0)</f>
        <v>230207</v>
      </c>
      <c r="G28" s="19">
        <f ca="1">VLOOKUP(CONCATENATE($A$6, A28), [0]!table_range, 7, 0)</f>
        <v>2.7940071327110001</v>
      </c>
      <c r="I28" s="34">
        <f t="shared" si="3"/>
        <v>17</v>
      </c>
      <c r="J28" s="34" t="str">
        <f>VLOOKUP(MOD(I28,4), Sheet1!$A$4:$C$7,2)</f>
        <v>Apr-Jun</v>
      </c>
      <c r="K28" s="34">
        <f t="shared" si="0"/>
        <v>2015</v>
      </c>
      <c r="L28" s="34" t="str">
        <f t="shared" si="1"/>
        <v>Apr-Jun 2015</v>
      </c>
      <c r="M28" s="38">
        <f>1</f>
        <v>1</v>
      </c>
      <c r="N28" s="39">
        <f ca="1">VLOOKUP(CONCATENATE($A$6, A28), [0]!table_range, 12, 0)</f>
        <v>0.94807173513315302</v>
      </c>
      <c r="O28" s="40">
        <f ca="1">VLOOKUP(CONCATENATE("Scot", A28), [0]!table_range, 3, 0)</f>
        <v>6432</v>
      </c>
      <c r="P28" s="40">
        <f ca="1">VLOOKUP(CONCATENATE("Scot", A28), [0]!table_range, 4, 0)</f>
        <v>6943.1125834547702</v>
      </c>
      <c r="Q28" s="38">
        <f ca="1">VLOOKUP(CONCATENATE("Scot", A28), [0]!table_range, 6, 0)</f>
        <v>0.92638566963860902</v>
      </c>
    </row>
    <row r="29" spans="1:17" ht="12.75" customHeight="1">
      <c r="A29" s="32">
        <f t="shared" si="2"/>
        <v>19</v>
      </c>
      <c r="B29" s="15" t="str">
        <f>L29 &amp; IF(Sheet1!$B$2 = (I29+1), "p", "")</f>
        <v>Jul-Sep 2015</v>
      </c>
      <c r="C29" s="16">
        <f ca="1">VLOOKUP(CONCATENATE($A$6, A29), [0]!table_range, 3, 0)</f>
        <v>6054</v>
      </c>
      <c r="D29" s="16">
        <f ca="1">VLOOKUP(CONCATENATE($A$6, A29), [0]!table_range, 4, 0)</f>
        <v>6791.5517384844898</v>
      </c>
      <c r="E29" s="17">
        <f ca="1">VLOOKUP(CONCATENATE($A$6, A29), [0]!table_range, 6, 0)</f>
        <v>0.89140158731249397</v>
      </c>
      <c r="F29" s="18">
        <f ca="1">VLOOKUP(CONCATENATE($A$6, A29), [0]!table_range, 5, 0)</f>
        <v>230071</v>
      </c>
      <c r="G29" s="19">
        <f ca="1">VLOOKUP(CONCATENATE($A$6, A29), [0]!table_range, 7, 0)</f>
        <v>2.6313616231511099</v>
      </c>
      <c r="I29" s="34">
        <f t="shared" si="3"/>
        <v>18</v>
      </c>
      <c r="J29" s="34" t="str">
        <f>VLOOKUP(MOD(I29,4), Sheet1!$A$4:$C$7,2)</f>
        <v>Jul-Sep</v>
      </c>
      <c r="K29" s="34">
        <f t="shared" si="0"/>
        <v>2015</v>
      </c>
      <c r="L29" s="34" t="str">
        <f t="shared" si="1"/>
        <v>Jul-Sep 2015</v>
      </c>
      <c r="M29" s="38">
        <f>1</f>
        <v>1</v>
      </c>
      <c r="N29" s="39">
        <f ca="1">VLOOKUP(CONCATENATE($A$6, A29), [0]!table_range, 12, 0)</f>
        <v>0.94159735353471297</v>
      </c>
      <c r="O29" s="40">
        <f ca="1">VLOOKUP(CONCATENATE("Scot", A29), [0]!table_range, 3, 0)</f>
        <v>6054</v>
      </c>
      <c r="P29" s="40">
        <f ca="1">VLOOKUP(CONCATENATE("Scot", A29), [0]!table_range, 4, 0)</f>
        <v>6791.5517384844898</v>
      </c>
      <c r="Q29" s="38">
        <f ca="1">VLOOKUP(CONCATENATE("Scot", A29), [0]!table_range, 6, 0)</f>
        <v>0.89140158731249397</v>
      </c>
    </row>
    <row r="30" spans="1:17" ht="12.75" customHeight="1">
      <c r="A30" s="32">
        <f t="shared" si="2"/>
        <v>20</v>
      </c>
      <c r="B30" s="15" t="str">
        <f>L30 &amp; IF(Sheet1!$B$2 = (I30+1), "p", "")</f>
        <v>Oct-Dec 2015</v>
      </c>
      <c r="C30" s="16">
        <f ca="1">VLOOKUP(CONCATENATE($A$6, A30), [0]!table_range, 3, 0)</f>
        <v>6694</v>
      </c>
      <c r="D30" s="16">
        <f ca="1">VLOOKUP(CONCATENATE($A$6, A30), [0]!table_range, 4, 0)</f>
        <v>7114.6885677801602</v>
      </c>
      <c r="E30" s="17">
        <f ca="1">VLOOKUP(CONCATENATE($A$6, A30), [0]!table_range, 6, 0)</f>
        <v>0.94087041705728203</v>
      </c>
      <c r="F30" s="18">
        <f ca="1">VLOOKUP(CONCATENATE($A$6, A30), [0]!table_range, 5, 0)</f>
        <v>234740</v>
      </c>
      <c r="G30" s="19">
        <f ca="1">VLOOKUP(CONCATENATE($A$6, A30), [0]!table_range, 7, 0)</f>
        <v>2.8516656726591099</v>
      </c>
      <c r="I30" s="34">
        <f t="shared" si="3"/>
        <v>19</v>
      </c>
      <c r="J30" s="34" t="str">
        <f>VLOOKUP(MOD(I30,4), Sheet1!$A$4:$C$7,2)</f>
        <v>Oct-Dec</v>
      </c>
      <c r="K30" s="34">
        <f t="shared" si="0"/>
        <v>2015</v>
      </c>
      <c r="L30" s="34" t="str">
        <f t="shared" si="1"/>
        <v>Oct-Dec 2015</v>
      </c>
      <c r="M30" s="38">
        <f>1</f>
        <v>1</v>
      </c>
      <c r="N30" s="39">
        <f ca="1">VLOOKUP(CONCATENATE($A$6, A30), [0]!table_range, 12, 0)</f>
        <v>0.93512297193627403</v>
      </c>
      <c r="O30" s="40">
        <f ca="1">VLOOKUP(CONCATENATE("Scot", A30), [0]!table_range, 3, 0)</f>
        <v>6694</v>
      </c>
      <c r="P30" s="40">
        <f ca="1">VLOOKUP(CONCATENATE("Scot", A30), [0]!table_range, 4, 0)</f>
        <v>7114.6885677801602</v>
      </c>
      <c r="Q30" s="38">
        <f ca="1">VLOOKUP(CONCATENATE("Scot", A30), [0]!table_range, 6, 0)</f>
        <v>0.94087041705728203</v>
      </c>
    </row>
    <row r="31" spans="1:17" ht="12.75" customHeight="1">
      <c r="A31" s="32">
        <f t="shared" si="2"/>
        <v>21</v>
      </c>
      <c r="B31" s="15" t="str">
        <f>L31 &amp; IF(Sheet1!$B$2 = (I31+1), "p", "")</f>
        <v>Jan-Mar 2016</v>
      </c>
      <c r="C31" s="16">
        <f ca="1">VLOOKUP(CONCATENATE($A$6, A31), [0]!table_range, 3, 0)</f>
        <v>7167</v>
      </c>
      <c r="D31" s="16">
        <f ca="1">VLOOKUP(CONCATENATE($A$6, A31), [0]!table_range, 4, 0)</f>
        <v>7447.1714312045897</v>
      </c>
      <c r="E31" s="17">
        <f ca="1">VLOOKUP(CONCATENATE($A$6, A31), [0]!table_range, 6, 0)</f>
        <v>0.96237881270859005</v>
      </c>
      <c r="F31" s="18">
        <f ca="1">VLOOKUP(CONCATENATE($A$6, A31), [0]!table_range, 5, 0)</f>
        <v>235966</v>
      </c>
      <c r="G31" s="19">
        <f ca="1">VLOOKUP(CONCATENATE($A$6, A31), [0]!table_range, 7, 0)</f>
        <v>3.0373019841841602</v>
      </c>
      <c r="I31" s="34">
        <f t="shared" si="3"/>
        <v>20</v>
      </c>
      <c r="J31" s="34" t="str">
        <f>VLOOKUP(MOD(I31,4), Sheet1!$A$4:$C$7,2)</f>
        <v>Jan-Mar</v>
      </c>
      <c r="K31" s="34">
        <f t="shared" si="0"/>
        <v>2016</v>
      </c>
      <c r="L31" s="34" t="str">
        <f t="shared" si="1"/>
        <v>Jan-Mar 2016</v>
      </c>
      <c r="M31" s="38">
        <f>1</f>
        <v>1</v>
      </c>
      <c r="N31" s="39">
        <f ca="1">VLOOKUP(CONCATENATE($A$6, A31), [0]!table_range, 12, 0)</f>
        <v>0.92864859033783398</v>
      </c>
      <c r="O31" s="40">
        <f ca="1">VLOOKUP(CONCATENATE("Scot", A31), [0]!table_range, 3, 0)</f>
        <v>7167</v>
      </c>
      <c r="P31" s="40">
        <f ca="1">VLOOKUP(CONCATENATE("Scot", A31), [0]!table_range, 4, 0)</f>
        <v>7447.1714312045897</v>
      </c>
      <c r="Q31" s="38">
        <f ca="1">VLOOKUP(CONCATENATE("Scot", A31), [0]!table_range, 6, 0)</f>
        <v>0.96237881270859005</v>
      </c>
    </row>
    <row r="32" spans="1:17" ht="12.75" customHeight="1">
      <c r="A32" s="32">
        <f t="shared" si="2"/>
        <v>22</v>
      </c>
      <c r="B32" s="15" t="str">
        <f>L32 &amp; IF(Sheet1!$B$2 = (I32+1), "p", "")</f>
        <v>Apr-Jun 2016</v>
      </c>
      <c r="C32" s="16">
        <f ca="1">VLOOKUP(CONCATENATE($A$6, A32), [0]!table_range, 3, 0)</f>
        <v>6072</v>
      </c>
      <c r="D32" s="16">
        <f ca="1">VLOOKUP(CONCATENATE($A$6, A32), [0]!table_range, 4, 0)</f>
        <v>7065.8226660739201</v>
      </c>
      <c r="E32" s="17">
        <f ca="1">VLOOKUP(CONCATENATE($A$6, A32), [0]!table_range, 6, 0)</f>
        <v>0.85934791841781</v>
      </c>
      <c r="F32" s="18">
        <f ca="1">VLOOKUP(CONCATENATE($A$6, A32), [0]!table_range, 5, 0)</f>
        <v>230813</v>
      </c>
      <c r="G32" s="19">
        <f ca="1">VLOOKUP(CONCATENATE($A$6, A32), [0]!table_range, 7, 0)</f>
        <v>2.6307010437020399</v>
      </c>
      <c r="I32" s="34">
        <f t="shared" si="3"/>
        <v>21</v>
      </c>
      <c r="J32" s="34" t="str">
        <f>VLOOKUP(MOD(I32,4), Sheet1!$A$4:$C$7,2)</f>
        <v>Apr-Jun</v>
      </c>
      <c r="K32" s="34">
        <f t="shared" si="0"/>
        <v>2016</v>
      </c>
      <c r="L32" s="34" t="str">
        <f t="shared" si="1"/>
        <v>Apr-Jun 2016</v>
      </c>
      <c r="M32" s="38">
        <f>1</f>
        <v>1</v>
      </c>
      <c r="N32" s="39">
        <f ca="1">VLOOKUP(CONCATENATE($A$6, A32), [0]!table_range, 12, 0)</f>
        <v>0.92217420873939504</v>
      </c>
      <c r="O32" s="40">
        <f ca="1">VLOOKUP(CONCATENATE("Scot", A32), [0]!table_range, 3, 0)</f>
        <v>6072</v>
      </c>
      <c r="P32" s="40">
        <f ca="1">VLOOKUP(CONCATENATE("Scot", A32), [0]!table_range, 4, 0)</f>
        <v>7065.8226660739201</v>
      </c>
      <c r="Q32" s="38">
        <f ca="1">VLOOKUP(CONCATENATE("Scot", A32), [0]!table_range, 6, 0)</f>
        <v>0.85934791841781</v>
      </c>
    </row>
    <row r="33" spans="1:17" ht="12.75" customHeight="1">
      <c r="A33" s="32">
        <f t="shared" si="2"/>
        <v>23</v>
      </c>
      <c r="B33" s="15" t="str">
        <f>L33 &amp; IF(Sheet1!$B$2 = (I33+1), "p", "")</f>
        <v>Jul-Sep 2016</v>
      </c>
      <c r="C33" s="16">
        <f ca="1">VLOOKUP(CONCATENATE($A$6, A33), [0]!table_range, 3, 0)</f>
        <v>6092</v>
      </c>
      <c r="D33" s="16">
        <f ca="1">VLOOKUP(CONCATENATE($A$6, A33), [0]!table_range, 4, 0)</f>
        <v>6988.7458222471196</v>
      </c>
      <c r="E33" s="17">
        <f ca="1">VLOOKUP(CONCATENATE($A$6, A33), [0]!table_range, 6, 0)</f>
        <v>0.871687160321023</v>
      </c>
      <c r="F33" s="18">
        <f ca="1">VLOOKUP(CONCATENATE($A$6, A33), [0]!table_range, 5, 0)</f>
        <v>223664</v>
      </c>
      <c r="G33" s="19">
        <f ca="1">VLOOKUP(CONCATENATE($A$6, A33), [0]!table_range, 7, 0)</f>
        <v>2.72372844981758</v>
      </c>
      <c r="I33" s="34">
        <f t="shared" si="3"/>
        <v>22</v>
      </c>
      <c r="J33" s="34" t="str">
        <f>VLOOKUP(MOD(I33,4), Sheet1!$A$4:$C$7,2)</f>
        <v>Jul-Sep</v>
      </c>
      <c r="K33" s="34">
        <f t="shared" si="0"/>
        <v>2016</v>
      </c>
      <c r="L33" s="34" t="str">
        <f t="shared" si="1"/>
        <v>Jul-Sep 2016</v>
      </c>
      <c r="M33" s="38">
        <f>1</f>
        <v>1</v>
      </c>
      <c r="N33" s="39">
        <f ca="1">VLOOKUP(CONCATENATE($A$6, A33), [0]!table_range, 12, 0)</f>
        <v>0.91569982714095599</v>
      </c>
      <c r="O33" s="40">
        <f ca="1">VLOOKUP(CONCATENATE("Scot", A33), [0]!table_range, 3, 0)</f>
        <v>6092</v>
      </c>
      <c r="P33" s="40">
        <f ca="1">VLOOKUP(CONCATENATE("Scot", A33), [0]!table_range, 4, 0)</f>
        <v>6988.7458222471196</v>
      </c>
      <c r="Q33" s="38">
        <f ca="1">VLOOKUP(CONCATENATE("Scot", A33), [0]!table_range, 6, 0)</f>
        <v>0.871687160321023</v>
      </c>
    </row>
    <row r="34" spans="1:17" ht="12.75" customHeight="1">
      <c r="A34" s="32">
        <f t="shared" si="2"/>
        <v>24</v>
      </c>
      <c r="B34" s="15" t="str">
        <f>L34 &amp; IF(Sheet1!$B$2 = (I34+1), "p", "")</f>
        <v>Oct-Dec 2016</v>
      </c>
      <c r="C34" s="16">
        <f ca="1">VLOOKUP(CONCATENATE($A$6, A34), [0]!table_range, 3, 0)</f>
        <v>7055</v>
      </c>
      <c r="D34" s="16">
        <f ca="1">VLOOKUP(CONCATENATE($A$6, A34), [0]!table_range, 4, 0)</f>
        <v>7570.5015752643703</v>
      </c>
      <c r="E34" s="17">
        <f ca="1">VLOOKUP(CONCATENATE($A$6, A34), [0]!table_range, 6, 0)</f>
        <v>0.93190654936937001</v>
      </c>
      <c r="F34" s="18">
        <f ca="1">VLOOKUP(CONCATENATE($A$6, A34), [0]!table_range, 5, 0)</f>
        <v>226088</v>
      </c>
      <c r="G34" s="19">
        <f ca="1">VLOOKUP(CONCATENATE($A$6, A34), [0]!table_range, 7, 0)</f>
        <v>3.1204663670783099</v>
      </c>
      <c r="I34" s="34">
        <f t="shared" si="3"/>
        <v>23</v>
      </c>
      <c r="J34" s="34" t="str">
        <f>VLOOKUP(MOD(I34,4), Sheet1!$A$4:$C$7,2)</f>
        <v>Oct-Dec</v>
      </c>
      <c r="K34" s="34">
        <f t="shared" si="0"/>
        <v>2016</v>
      </c>
      <c r="L34" s="34" t="str">
        <f t="shared" si="1"/>
        <v>Oct-Dec 2016</v>
      </c>
      <c r="M34" s="38">
        <f>1</f>
        <v>1</v>
      </c>
      <c r="N34" s="39">
        <f ca="1">VLOOKUP(CONCATENATE($A$6, A34), [0]!table_range, 12, 0)</f>
        <v>0.90922544554251605</v>
      </c>
      <c r="O34" s="40">
        <f ca="1">VLOOKUP(CONCATENATE("Scot", A34), [0]!table_range, 3, 0)</f>
        <v>7055</v>
      </c>
      <c r="P34" s="40">
        <f ca="1">VLOOKUP(CONCATENATE("Scot", A34), [0]!table_range, 4, 0)</f>
        <v>7570.5015752643703</v>
      </c>
      <c r="Q34" s="38">
        <f ca="1">VLOOKUP(CONCATENATE("Scot", A34), [0]!table_range, 6, 0)</f>
        <v>0.93190654936937001</v>
      </c>
    </row>
    <row r="35" spans="1:17" ht="12.75" customHeight="1">
      <c r="A35" s="32">
        <f t="shared" si="2"/>
        <v>25</v>
      </c>
      <c r="B35" s="15" t="str">
        <f>L35 &amp; IF(Sheet1!$B$2 = (I35+1), "p", "")</f>
        <v>Jan-Mar 2017</v>
      </c>
      <c r="C35" s="16">
        <f ca="1">VLOOKUP(CONCATENATE($A$6, A35), [0]!table_range, 3, 0)</f>
        <v>7069</v>
      </c>
      <c r="D35" s="16">
        <f ca="1">VLOOKUP(CONCATENATE($A$6, A35), [0]!table_range, 4, 0)</f>
        <v>7601.8477313923904</v>
      </c>
      <c r="E35" s="17">
        <f ca="1">VLOOKUP(CONCATENATE($A$6, A35), [0]!table_range, 6, 0)</f>
        <v>0.92990549794993105</v>
      </c>
      <c r="F35" s="18">
        <f ca="1">VLOOKUP(CONCATENATE($A$6, A35), [0]!table_range, 5, 0)</f>
        <v>226301</v>
      </c>
      <c r="G35" s="19">
        <f ca="1">VLOOKUP(CONCATENATE($A$6, A35), [0]!table_range, 7, 0)</f>
        <v>3.1237157590996101</v>
      </c>
      <c r="I35" s="34">
        <f t="shared" si="3"/>
        <v>24</v>
      </c>
      <c r="J35" s="34" t="str">
        <f>VLOOKUP(MOD(I35,4), Sheet1!$A$4:$C$7,2)</f>
        <v>Jan-Mar</v>
      </c>
      <c r="K35" s="34">
        <f t="shared" si="0"/>
        <v>2017</v>
      </c>
      <c r="L35" s="34" t="str">
        <f t="shared" si="1"/>
        <v>Jan-Mar 2017</v>
      </c>
      <c r="M35" s="38">
        <f>1</f>
        <v>1</v>
      </c>
      <c r="N35" s="39">
        <f ca="1">VLOOKUP(CONCATENATE($A$6, A35), [0]!table_range, 12, 0)</f>
        <v>0.902751063944077</v>
      </c>
      <c r="O35" s="40">
        <f ca="1">VLOOKUP(CONCATENATE("Scot", A35), [0]!table_range, 3, 0)</f>
        <v>7069</v>
      </c>
      <c r="P35" s="40">
        <f ca="1">VLOOKUP(CONCATENATE("Scot", A35), [0]!table_range, 4, 0)</f>
        <v>7601.8477313923904</v>
      </c>
      <c r="Q35" s="38">
        <f ca="1">VLOOKUP(CONCATENATE("Scot", A35), [0]!table_range, 6, 0)</f>
        <v>0.92990549794993105</v>
      </c>
    </row>
    <row r="36" spans="1:17" ht="12.75" customHeight="1">
      <c r="A36" s="32">
        <f t="shared" si="2"/>
        <v>26</v>
      </c>
      <c r="B36" s="15" t="str">
        <f>L36 &amp; IF(Sheet1!$B$2 = (I36+1), "p", "")</f>
        <v>Apr-Jun 2017</v>
      </c>
      <c r="C36" s="16">
        <f ca="1">VLOOKUP(CONCATENATE($A$6, A36), [0]!table_range, 3, 0)</f>
        <v>6265</v>
      </c>
      <c r="D36" s="16">
        <f ca="1">VLOOKUP(CONCATENATE($A$6, A36), [0]!table_range, 4, 0)</f>
        <v>7284.8967587908501</v>
      </c>
      <c r="E36" s="17">
        <f ca="1">VLOOKUP(CONCATENATE($A$6, A36), [0]!table_range, 6, 0)</f>
        <v>0.859998460848451</v>
      </c>
      <c r="F36" s="18">
        <f ca="1">VLOOKUP(CONCATENATE($A$6, A36), [0]!table_range, 5, 0)</f>
        <v>221766</v>
      </c>
      <c r="G36" s="19">
        <f ca="1">VLOOKUP(CONCATENATE($A$6, A36), [0]!table_range, 7, 0)</f>
        <v>2.8250498272954401</v>
      </c>
      <c r="I36" s="34">
        <f t="shared" si="3"/>
        <v>25</v>
      </c>
      <c r="J36" s="34" t="str">
        <f>VLOOKUP(MOD(I36,4), Sheet1!$A$4:$C$7,2)</f>
        <v>Apr-Jun</v>
      </c>
      <c r="K36" s="34">
        <f t="shared" si="0"/>
        <v>2017</v>
      </c>
      <c r="L36" s="34" t="str">
        <f t="shared" si="1"/>
        <v>Apr-Jun 2017</v>
      </c>
      <c r="M36" s="38">
        <f>1</f>
        <v>1</v>
      </c>
      <c r="N36" s="39">
        <f ca="1">VLOOKUP(CONCATENATE($A$6, A36), [0]!table_range, 12, 0)</f>
        <v>0.89627668234563695</v>
      </c>
      <c r="O36" s="40">
        <f ca="1">VLOOKUP(CONCATENATE("Scot", A36), [0]!table_range, 3, 0)</f>
        <v>6265</v>
      </c>
      <c r="P36" s="40">
        <f ca="1">VLOOKUP(CONCATENATE("Scot", A36), [0]!table_range, 4, 0)</f>
        <v>7284.8967587908501</v>
      </c>
      <c r="Q36" s="38">
        <f ca="1">VLOOKUP(CONCATENATE("Scot", A36), [0]!table_range, 6, 0)</f>
        <v>0.859998460848451</v>
      </c>
    </row>
    <row r="37" spans="1:17" ht="12.75" customHeight="1">
      <c r="A37" s="32">
        <f t="shared" si="2"/>
        <v>27</v>
      </c>
      <c r="B37" s="15" t="str">
        <f>L37 &amp; IF(Sheet1!$B$2 = (I37+1), "p", "")</f>
        <v>Jul-Sep 2017</v>
      </c>
      <c r="C37" s="16">
        <f ca="1">VLOOKUP(CONCATENATE($A$6, A37), [0]!table_range, 3, 0)</f>
        <v>6118</v>
      </c>
      <c r="D37" s="16">
        <f ca="1">VLOOKUP(CONCATENATE($A$6, A37), [0]!table_range, 4, 0)</f>
        <v>7195.0346744787203</v>
      </c>
      <c r="E37" s="17">
        <f ca="1">VLOOKUP(CONCATENATE($A$6, A37), [0]!table_range, 6, 0)</f>
        <v>0.85030861931784196</v>
      </c>
      <c r="F37" s="18">
        <f ca="1">VLOOKUP(CONCATENATE($A$6, A37), [0]!table_range, 5, 0)</f>
        <v>219125</v>
      </c>
      <c r="G37" s="19">
        <f ca="1">VLOOKUP(CONCATENATE($A$6, A37), [0]!table_range, 7, 0)</f>
        <v>2.79201369081574</v>
      </c>
      <c r="I37" s="34">
        <f t="shared" si="3"/>
        <v>26</v>
      </c>
      <c r="J37" s="34" t="str">
        <f>VLOOKUP(MOD(I37,4), Sheet1!$A$4:$C$7,2)</f>
        <v>Jul-Sep</v>
      </c>
      <c r="K37" s="34">
        <f t="shared" si="0"/>
        <v>2017</v>
      </c>
      <c r="L37" s="34" t="str">
        <f t="shared" si="1"/>
        <v>Jul-Sep 2017</v>
      </c>
      <c r="M37" s="38">
        <f>1</f>
        <v>1</v>
      </c>
      <c r="N37" s="39">
        <f ca="1">VLOOKUP(CONCATENATE($A$6, A37), [0]!table_range, 12, 0)</f>
        <v>0.88980230074719802</v>
      </c>
      <c r="O37" s="40">
        <f ca="1">VLOOKUP(CONCATENATE("Scot", A37), [0]!table_range, 3, 0)</f>
        <v>6118</v>
      </c>
      <c r="P37" s="40">
        <f ca="1">VLOOKUP(CONCATENATE("Scot", A37), [0]!table_range, 4, 0)</f>
        <v>7195.0346744787203</v>
      </c>
      <c r="Q37" s="38">
        <f ca="1">VLOOKUP(CONCATENATE("Scot", A37), [0]!table_range, 6, 0)</f>
        <v>0.85030861931784196</v>
      </c>
    </row>
    <row r="38" spans="1:17" ht="12.75" customHeight="1">
      <c r="A38" s="32">
        <f t="shared" si="2"/>
        <v>28</v>
      </c>
      <c r="B38" s="15" t="str">
        <f>L38 &amp; IF(Sheet1!$B$2 = (I38+1), "p", "")</f>
        <v>Oct-Dec 2017</v>
      </c>
      <c r="C38" s="16">
        <f ca="1">VLOOKUP(CONCATENATE($A$6, A38), [0]!table_range, 3, 0)</f>
        <v>7554</v>
      </c>
      <c r="D38" s="16">
        <f ca="1">VLOOKUP(CONCATENATE($A$6, A38), [0]!table_range, 4, 0)</f>
        <v>8080.5551661795198</v>
      </c>
      <c r="E38" s="17">
        <f ca="1">VLOOKUP(CONCATENATE($A$6, A38), [0]!table_range, 6, 0)</f>
        <v>0.934836758694085</v>
      </c>
      <c r="F38" s="18">
        <f ca="1">VLOOKUP(CONCATENATE($A$6, A38), [0]!table_range, 5, 0)</f>
        <v>225750</v>
      </c>
      <c r="G38" s="19">
        <f ca="1">VLOOKUP(CONCATENATE($A$6, A38), [0]!table_range, 7, 0)</f>
        <v>3.3461794019933602</v>
      </c>
      <c r="I38" s="34">
        <f t="shared" si="3"/>
        <v>27</v>
      </c>
      <c r="J38" s="34" t="str">
        <f>VLOOKUP(MOD(I38,4), Sheet1!$A$4:$C$7,2)</f>
        <v>Oct-Dec</v>
      </c>
      <c r="K38" s="34">
        <f t="shared" si="0"/>
        <v>2017</v>
      </c>
      <c r="L38" s="34" t="str">
        <f t="shared" si="1"/>
        <v>Oct-Dec 2017</v>
      </c>
      <c r="M38" s="38">
        <f>1</f>
        <v>1</v>
      </c>
      <c r="N38" s="39">
        <f ca="1">VLOOKUP(CONCATENATE($A$6, A38), [0]!table_range, 12, 0)</f>
        <v>0.88332791914875797</v>
      </c>
      <c r="O38" s="40">
        <f ca="1">VLOOKUP(CONCATENATE("Scot", A38), [0]!table_range, 3, 0)</f>
        <v>7554</v>
      </c>
      <c r="P38" s="40">
        <f ca="1">VLOOKUP(CONCATENATE("Scot", A38), [0]!table_range, 4, 0)</f>
        <v>8080.5551661795198</v>
      </c>
      <c r="Q38" s="38">
        <f ca="1">VLOOKUP(CONCATENATE("Scot", A38), [0]!table_range, 6, 0)</f>
        <v>0.934836758694085</v>
      </c>
    </row>
    <row r="39" spans="1:17" ht="12.75" customHeight="1">
      <c r="A39" s="32">
        <f t="shared" si="2"/>
        <v>29</v>
      </c>
      <c r="B39" s="15" t="str">
        <f>L39 &amp; IF(Sheet1!$B$2 = (I39+1), "p", "")</f>
        <v>Jan-Mar 2018p</v>
      </c>
      <c r="C39" s="16">
        <f ca="1">VLOOKUP(CONCATENATE($A$6, A39), [0]!table_range, 3, 0)</f>
        <v>7411</v>
      </c>
      <c r="D39" s="16">
        <f ca="1">VLOOKUP(CONCATENATE($A$6, A39), [0]!table_range, 4, 0)</f>
        <v>7957.9315814812298</v>
      </c>
      <c r="E39" s="17">
        <f ca="1">VLOOKUP(CONCATENATE($A$6, A39), [0]!table_range, 6, 0)</f>
        <v>0.931272143284823</v>
      </c>
      <c r="F39" s="18">
        <f ca="1">VLOOKUP(CONCATENATE($A$6, A39), [0]!table_range, 5, 0)</f>
        <v>221373</v>
      </c>
      <c r="G39" s="19">
        <f ca="1">VLOOKUP(CONCATENATE($A$6, A39), [0]!table_range, 7, 0)</f>
        <v>3.3477434014084801</v>
      </c>
      <c r="I39" s="34">
        <f t="shared" si="3"/>
        <v>28</v>
      </c>
      <c r="J39" s="34" t="str">
        <f>VLOOKUP(MOD(I39,4), Sheet1!$A$4:$C$7,2)</f>
        <v>Jan-Mar</v>
      </c>
      <c r="K39" s="34">
        <f t="shared" si="0"/>
        <v>2018</v>
      </c>
      <c r="L39" s="34" t="str">
        <f t="shared" si="1"/>
        <v>Jan-Mar 2018</v>
      </c>
      <c r="M39" s="38">
        <f>1</f>
        <v>1</v>
      </c>
      <c r="N39" s="39">
        <f ca="1">VLOOKUP(CONCATENATE($A$6, A39), [0]!table_range, 12, 0)</f>
        <v>0.87685353755031903</v>
      </c>
      <c r="O39" s="40">
        <f ca="1">VLOOKUP(CONCATENATE("Scot", A39), [0]!table_range, 3, 0)</f>
        <v>7411</v>
      </c>
      <c r="P39" s="40">
        <f ca="1">VLOOKUP(CONCATENATE("Scot", A39), [0]!table_range, 4, 0)</f>
        <v>7957.9315814812298</v>
      </c>
      <c r="Q39" s="38">
        <f ca="1">VLOOKUP(CONCATENATE("Scot", A39), [0]!table_range, 6, 0)</f>
        <v>0.931272143284823</v>
      </c>
    </row>
    <row r="40" spans="1:17" ht="12.75" customHeight="1">
      <c r="A40" s="32"/>
      <c r="B40" s="15"/>
      <c r="C40" s="16"/>
      <c r="D40" s="16"/>
      <c r="E40" s="17"/>
      <c r="F40" s="18"/>
      <c r="G40" s="19"/>
      <c r="M40" s="38"/>
      <c r="N40" s="39"/>
      <c r="O40" s="40"/>
      <c r="P40" s="40"/>
      <c r="Q40" s="38"/>
    </row>
    <row r="41" spans="1:17">
      <c r="B41" s="20" t="s">
        <v>138</v>
      </c>
    </row>
    <row r="42" spans="1:17">
      <c r="B42" s="21" t="s">
        <v>41</v>
      </c>
    </row>
  </sheetData>
  <mergeCells count="1">
    <mergeCell ref="B3:H3"/>
  </mergeCells>
  <pageMargins left="0.7" right="0.7" top="0.75" bottom="0.75" header="0.3" footer="0.3"/>
  <pageSetup paperSize="9" orientation="portrait" r:id="rId1"/>
  <ignoredErrors>
    <ignoredError sqref="B11:B39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L31"/>
  <sheetViews>
    <sheetView showGridLines="0" workbookViewId="0"/>
  </sheetViews>
  <sheetFormatPr defaultRowHeight="15"/>
  <cols>
    <col min="1" max="1" width="4.28515625" style="4" customWidth="1"/>
    <col min="2" max="16384" width="9.140625" style="4"/>
  </cols>
  <sheetData>
    <row r="1" spans="2:12">
      <c r="B1" s="43" t="str">
        <f>"Quarterly Hospital Standardised Mortality Ratios in "&amp;Table1!$B$8</f>
        <v>Quarterly Hospital Standardised Mortality Ratios in Scotland</v>
      </c>
      <c r="C1" s="43"/>
      <c r="D1" s="43"/>
      <c r="E1" s="43"/>
      <c r="F1" s="43"/>
      <c r="G1" s="43"/>
      <c r="H1" s="43"/>
      <c r="I1" s="43"/>
      <c r="J1" s="43"/>
      <c r="K1" s="43"/>
      <c r="L1" s="43"/>
    </row>
    <row r="2" spans="2:12">
      <c r="B2" s="5" t="s">
        <v>32</v>
      </c>
      <c r="C2" s="6"/>
      <c r="D2" s="6"/>
      <c r="E2" s="6"/>
      <c r="F2" s="6"/>
      <c r="G2" s="6"/>
      <c r="H2" s="6"/>
      <c r="I2" s="6"/>
      <c r="J2" s="6"/>
      <c r="K2" s="6"/>
      <c r="L2" s="6"/>
    </row>
    <row r="3" spans="2:12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2:12">
      <c r="B4" s="22" t="str">
        <f xml:space="preserve"> "Chart 1 - Hospital Standardised Mortality Ratio; " &amp; "January 2011 - " &amp; VLOOKUP(MOD(MAX(Table1!$I:$I),4), Sheet1!$A$4:$C$7,3) &amp; " " &amp; MAX(Table1!$K:$K) &amp; "p"</f>
        <v>Chart 1 - Hospital Standardised Mortality Ratio; January 2011 - March 2018p</v>
      </c>
      <c r="C4" s="6"/>
      <c r="D4" s="6"/>
      <c r="E4" s="6"/>
      <c r="F4" s="6"/>
      <c r="G4" s="6"/>
      <c r="H4" s="6"/>
      <c r="I4" s="6"/>
      <c r="J4" s="6"/>
      <c r="K4" s="6"/>
      <c r="L4" s="6"/>
    </row>
    <row r="30" spans="3:3">
      <c r="C30" s="20" t="s">
        <v>139</v>
      </c>
    </row>
    <row r="31" spans="3:3">
      <c r="C31" s="21" t="s">
        <v>41</v>
      </c>
    </row>
  </sheetData>
  <mergeCells count="1">
    <mergeCell ref="B1:L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L36"/>
  <sheetViews>
    <sheetView showGridLines="0" workbookViewId="0"/>
  </sheetViews>
  <sheetFormatPr defaultRowHeight="15"/>
  <cols>
    <col min="1" max="1" width="4.28515625" style="4" customWidth="1"/>
    <col min="2" max="2" width="21.85546875" style="4" customWidth="1"/>
    <col min="3" max="16384" width="9.140625" style="4"/>
  </cols>
  <sheetData>
    <row r="1" spans="2:12">
      <c r="B1" s="43" t="str">
        <f>"Quarterly Hospital Standardised Mortality Ratios in "&amp;Table1!$B$8</f>
        <v>Quarterly Hospital Standardised Mortality Ratios in Scotland</v>
      </c>
      <c r="C1" s="43"/>
      <c r="D1" s="43"/>
      <c r="E1" s="43"/>
      <c r="F1" s="43"/>
      <c r="G1" s="43"/>
      <c r="H1" s="43"/>
      <c r="I1" s="43"/>
      <c r="J1" s="43"/>
      <c r="K1" s="43"/>
      <c r="L1" s="43"/>
    </row>
    <row r="2" spans="2:12">
      <c r="B2" s="5" t="s">
        <v>32</v>
      </c>
      <c r="C2" s="6"/>
      <c r="D2" s="6"/>
      <c r="E2" s="6"/>
      <c r="F2" s="6"/>
      <c r="G2" s="6"/>
      <c r="H2" s="6"/>
      <c r="I2" s="6"/>
      <c r="J2" s="6"/>
      <c r="K2" s="6"/>
      <c r="L2" s="6"/>
    </row>
    <row r="3" spans="2:12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2:12">
      <c r="B4" s="22" t="str">
        <f xml:space="preserve"> "Chart 2 - Hospital Standardised Mortality Ratio with Regression Line1; " &amp; "January 2011 - " &amp; VLOOKUP(MOD(MAX(Table1!$I:$I),4), Sheet1!$A$4:$C$7,3) &amp; " " &amp; MAX(Table1!$K:$K) &amp; "p"</f>
        <v>Chart 2 - Hospital Standardised Mortality Ratio with Regression Line1; January 2011 - March 2018p</v>
      </c>
      <c r="C4" s="6"/>
      <c r="D4" s="6"/>
      <c r="E4" s="6"/>
      <c r="F4" s="6"/>
      <c r="G4" s="6"/>
      <c r="H4" s="6"/>
      <c r="I4" s="6"/>
      <c r="J4" s="6"/>
      <c r="K4" s="6"/>
      <c r="L4" s="6"/>
    </row>
    <row r="6" spans="2:12">
      <c r="B6" s="30"/>
      <c r="C6" s="44" t="s">
        <v>45</v>
      </c>
      <c r="D6" s="46" t="s">
        <v>46</v>
      </c>
      <c r="E6" s="47"/>
    </row>
    <row r="7" spans="2:12">
      <c r="B7" s="31"/>
      <c r="C7" s="45"/>
      <c r="D7" s="48"/>
      <c r="E7" s="49"/>
    </row>
    <row r="8" spans="2:12">
      <c r="B8" s="23" t="str">
        <f>Table1!B8</f>
        <v>Scotland</v>
      </c>
      <c r="C8" s="24">
        <f ca="1">OFFSET(Table1!$E$11, Sheet1!$B$1-1, 0, 1, 1)</f>
        <v>0.931272143284823</v>
      </c>
      <c r="D8" s="50">
        <f ca="1">(OFFSET(Table1!$N$11, Sheet1!$B$1-1, 0, 1, 1)-Table1!$N$23)/Table1!$N$23</f>
        <v>-0.10565635903846335</v>
      </c>
      <c r="E8" s="50"/>
    </row>
    <row r="34" spans="2:2">
      <c r="B34" s="20" t="s">
        <v>138</v>
      </c>
    </row>
    <row r="35" spans="2:2">
      <c r="B35" s="21" t="s">
        <v>41</v>
      </c>
    </row>
    <row r="36" spans="2:2">
      <c r="B36" s="25" t="s">
        <v>47</v>
      </c>
    </row>
  </sheetData>
  <mergeCells count="4">
    <mergeCell ref="B1:L1"/>
    <mergeCell ref="C6:C7"/>
    <mergeCell ref="D6:E7"/>
    <mergeCell ref="D8:E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B1:N62"/>
  <sheetViews>
    <sheetView showGridLines="0" workbookViewId="0"/>
  </sheetViews>
  <sheetFormatPr defaultRowHeight="15"/>
  <cols>
    <col min="1" max="1" width="4.28515625" style="4" customWidth="1"/>
    <col min="2" max="16384" width="9.140625" style="4"/>
  </cols>
  <sheetData>
    <row r="1" spans="2:2">
      <c r="B1" s="5" t="s">
        <v>140</v>
      </c>
    </row>
    <row r="2" spans="2:2">
      <c r="B2" s="5" t="s">
        <v>32</v>
      </c>
    </row>
    <row r="3" spans="2:2">
      <c r="B3" s="42"/>
    </row>
    <row r="4" spans="2:2">
      <c r="B4" s="22" t="str">
        <f xml:space="preserve"> "Chart 3a - Number of observed and predicted deaths; " &amp; "January 2011 - " &amp; VLOOKUP(MOD(MAX(Table1!$I:$I),4), Sheet1!$A$4:$C$7,3) &amp; " " &amp; MAX(Table1!$K:$K) &amp; "p"</f>
        <v>Chart 3a - Number of observed and predicted deaths; January 2011 - March 2018p</v>
      </c>
    </row>
    <row r="33" spans="2:14">
      <c r="B33" s="43" t="str">
        <f>"Quarterly Hospital Standardised Mortality Ratios in "&amp;Table1!$B$8</f>
        <v>Quarterly Hospital Standardised Mortality Ratios in Scotland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</row>
    <row r="35" spans="2:14">
      <c r="B35" s="22" t="str">
        <f xml:space="preserve"> "Chart 3b - Number of observed and predicted deaths; " &amp; "January 2011 - " &amp; VLOOKUP(MOD(MAX(Table1!$I:$I),4), Sheet1!$A$4:$C$7,3) &amp; " " &amp; MAX(Table1!$K:$K) &amp; "p"</f>
        <v>Chart 3b - Number of observed and predicted deaths; January 2011 - March 2018p</v>
      </c>
    </row>
    <row r="61" spans="2:2">
      <c r="B61" s="20" t="s">
        <v>138</v>
      </c>
    </row>
    <row r="62" spans="2:2">
      <c r="B62" s="21" t="s">
        <v>41</v>
      </c>
    </row>
  </sheetData>
  <mergeCells count="1">
    <mergeCell ref="B33:N3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B1:L31"/>
  <sheetViews>
    <sheetView showGridLines="0" workbookViewId="0"/>
  </sheetViews>
  <sheetFormatPr defaultRowHeight="15"/>
  <cols>
    <col min="1" max="1" width="4.28515625" style="4" customWidth="1"/>
    <col min="2" max="16384" width="9.140625" style="4"/>
  </cols>
  <sheetData>
    <row r="1" spans="2:12">
      <c r="B1" s="43" t="str">
        <f>"Quarterly Hospital Standardised Mortality Ratios in "&amp;Table1!$B$8</f>
        <v>Quarterly Hospital Standardised Mortality Ratios in Scotland</v>
      </c>
      <c r="C1" s="43"/>
      <c r="D1" s="43"/>
      <c r="E1" s="43"/>
      <c r="F1" s="43"/>
      <c r="G1" s="43"/>
      <c r="H1" s="43"/>
      <c r="I1" s="43"/>
      <c r="J1" s="43"/>
      <c r="K1" s="43"/>
      <c r="L1" s="43"/>
    </row>
    <row r="2" spans="2:12">
      <c r="B2" s="5" t="s">
        <v>32</v>
      </c>
      <c r="C2" s="42"/>
      <c r="D2" s="42"/>
      <c r="E2" s="42"/>
      <c r="F2" s="42"/>
      <c r="G2" s="42"/>
      <c r="H2" s="42"/>
      <c r="I2" s="42"/>
      <c r="J2" s="42"/>
      <c r="K2" s="42"/>
      <c r="L2" s="42"/>
    </row>
    <row r="3" spans="2:12"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</row>
    <row r="4" spans="2:12">
      <c r="B4" s="22" t="str">
        <f xml:space="preserve"> "Chart 4 - Crude Mortality Rates (%): " &amp; "January 2011 - " &amp; VLOOKUP(MOD(MAX(Table1!$I:$I),4), Sheet1!$A$4:$C$7,3) &amp; " " &amp; MAX(Table1!$K:$K) &amp; "p"</f>
        <v>Chart 4 - Crude Mortality Rates (%): January 2011 - March 2018p</v>
      </c>
      <c r="C4" s="42"/>
      <c r="D4" s="42"/>
      <c r="E4" s="42"/>
      <c r="F4" s="42"/>
      <c r="G4" s="42"/>
      <c r="H4" s="42"/>
      <c r="I4" s="42"/>
      <c r="J4" s="42"/>
      <c r="K4" s="42"/>
      <c r="L4" s="42"/>
    </row>
    <row r="30" spans="2:2">
      <c r="B30" s="20" t="s">
        <v>138</v>
      </c>
    </row>
    <row r="31" spans="2:2">
      <c r="B31" s="21" t="s">
        <v>41</v>
      </c>
    </row>
  </sheetData>
  <mergeCells count="1">
    <mergeCell ref="B1:L1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C16"/>
  <sheetViews>
    <sheetView workbookViewId="0"/>
  </sheetViews>
  <sheetFormatPr defaultRowHeight="15"/>
  <cols>
    <col min="1" max="1" width="11.28515625" bestFit="1" customWidth="1"/>
    <col min="2" max="2" width="11.28515625" customWidth="1"/>
    <col min="3" max="3" width="35" bestFit="1" customWidth="1"/>
  </cols>
  <sheetData>
    <row r="1" spans="1:3">
      <c r="A1" s="1">
        <v>1</v>
      </c>
      <c r="B1" s="3" t="s">
        <v>0</v>
      </c>
      <c r="C1" s="1" t="s">
        <v>1</v>
      </c>
    </row>
    <row r="2" spans="1:3">
      <c r="A2" s="1">
        <v>2</v>
      </c>
      <c r="B2" s="3" t="s">
        <v>2</v>
      </c>
      <c r="C2" s="1" t="s">
        <v>3</v>
      </c>
    </row>
    <row r="3" spans="1:3">
      <c r="A3" s="1">
        <v>3</v>
      </c>
      <c r="B3" s="3" t="s">
        <v>4</v>
      </c>
      <c r="C3" s="1" t="s">
        <v>5</v>
      </c>
    </row>
    <row r="4" spans="1:3">
      <c r="A4" s="1">
        <v>4</v>
      </c>
      <c r="B4" s="3" t="s">
        <v>6</v>
      </c>
      <c r="C4" s="2" t="s">
        <v>7</v>
      </c>
    </row>
    <row r="5" spans="1:3">
      <c r="A5" s="1">
        <v>5</v>
      </c>
      <c r="B5" s="3" t="s">
        <v>8</v>
      </c>
      <c r="C5" s="1" t="s">
        <v>9</v>
      </c>
    </row>
    <row r="6" spans="1:3">
      <c r="A6" s="1">
        <v>6</v>
      </c>
      <c r="B6" s="3" t="s">
        <v>10</v>
      </c>
      <c r="C6" s="2" t="s">
        <v>11</v>
      </c>
    </row>
    <row r="7" spans="1:3">
      <c r="A7" s="1">
        <v>7</v>
      </c>
      <c r="B7" s="3" t="s">
        <v>12</v>
      </c>
      <c r="C7" s="1" t="s">
        <v>13</v>
      </c>
    </row>
    <row r="8" spans="1:3">
      <c r="A8" s="1">
        <v>8</v>
      </c>
      <c r="B8" s="3" t="s">
        <v>14</v>
      </c>
      <c r="C8" s="1" t="s">
        <v>15</v>
      </c>
    </row>
    <row r="9" spans="1:3">
      <c r="A9" s="1">
        <v>9</v>
      </c>
      <c r="B9" s="3" t="s">
        <v>16</v>
      </c>
      <c r="C9" s="1" t="s">
        <v>17</v>
      </c>
    </row>
    <row r="10" spans="1:3">
      <c r="A10" s="1">
        <v>10</v>
      </c>
      <c r="B10" s="3" t="s">
        <v>18</v>
      </c>
      <c r="C10" s="1" t="s">
        <v>19</v>
      </c>
    </row>
    <row r="11" spans="1:3">
      <c r="A11" s="1">
        <v>11</v>
      </c>
      <c r="B11" s="3" t="s">
        <v>20</v>
      </c>
      <c r="C11" s="1" t="s">
        <v>21</v>
      </c>
    </row>
    <row r="12" spans="1:3">
      <c r="A12" s="1">
        <v>12</v>
      </c>
      <c r="B12" s="3" t="s">
        <v>22</v>
      </c>
      <c r="C12" s="1" t="s">
        <v>23</v>
      </c>
    </row>
    <row r="13" spans="1:3">
      <c r="A13" s="1">
        <v>13</v>
      </c>
      <c r="B13" s="3" t="s">
        <v>24</v>
      </c>
      <c r="C13" s="1" t="s">
        <v>25</v>
      </c>
    </row>
    <row r="14" spans="1:3">
      <c r="A14" s="1">
        <v>14</v>
      </c>
      <c r="B14" s="3" t="s">
        <v>26</v>
      </c>
      <c r="C14" s="1" t="s">
        <v>27</v>
      </c>
    </row>
    <row r="15" spans="1:3">
      <c r="A15" s="1">
        <v>15</v>
      </c>
      <c r="B15" s="3" t="s">
        <v>28</v>
      </c>
      <c r="C15" s="2" t="s">
        <v>29</v>
      </c>
    </row>
    <row r="16" spans="1:3">
      <c r="A16" s="1">
        <v>16</v>
      </c>
      <c r="B16" s="3" t="s">
        <v>30</v>
      </c>
      <c r="C16" s="1" t="s">
        <v>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C10"/>
  <sheetViews>
    <sheetView workbookViewId="0"/>
  </sheetViews>
  <sheetFormatPr defaultRowHeight="15"/>
  <cols>
    <col min="1" max="1" width="17.85546875" bestFit="1" customWidth="1"/>
    <col min="3" max="3" width="10.85546875" bestFit="1" customWidth="1"/>
  </cols>
  <sheetData>
    <row r="1" spans="1:3">
      <c r="A1" t="s">
        <v>134</v>
      </c>
      <c r="B1">
        <f ca="1">COUNTA(Table1!C:C)-1</f>
        <v>29</v>
      </c>
    </row>
    <row r="2" spans="1:3">
      <c r="A2" t="s">
        <v>133</v>
      </c>
      <c r="B2" s="26">
        <f>MAX(smr_data!B:B)</f>
        <v>29</v>
      </c>
    </row>
    <row r="4" spans="1:3">
      <c r="A4">
        <v>0</v>
      </c>
      <c r="B4" t="s">
        <v>48</v>
      </c>
      <c r="C4" t="s">
        <v>52</v>
      </c>
    </row>
    <row r="5" spans="1:3">
      <c r="A5">
        <v>1</v>
      </c>
      <c r="B5" t="s">
        <v>49</v>
      </c>
      <c r="C5" t="s">
        <v>53</v>
      </c>
    </row>
    <row r="6" spans="1:3">
      <c r="A6">
        <v>2</v>
      </c>
      <c r="B6" t="s">
        <v>50</v>
      </c>
      <c r="C6" t="s">
        <v>54</v>
      </c>
    </row>
    <row r="7" spans="1:3">
      <c r="A7">
        <v>3</v>
      </c>
      <c r="B7" t="s">
        <v>51</v>
      </c>
      <c r="C7" t="s">
        <v>55</v>
      </c>
    </row>
    <row r="9" spans="1:3">
      <c r="A9" t="s">
        <v>131</v>
      </c>
      <c r="B9">
        <f>COUNTA(smr_data!$B:$B)-1</f>
        <v>1275</v>
      </c>
    </row>
    <row r="10" spans="1:3">
      <c r="A10" t="s">
        <v>132</v>
      </c>
      <c r="B10">
        <f>COUNTA(smr_data!$2:$2)</f>
        <v>12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:L8500"/>
  <sheetViews>
    <sheetView workbookViewId="0"/>
  </sheetViews>
  <sheetFormatPr defaultRowHeight="15"/>
  <cols>
    <col min="1" max="1" width="11.140625" bestFit="1" customWidth="1"/>
  </cols>
  <sheetData>
    <row r="1" spans="1:12">
      <c r="A1" t="s">
        <v>130</v>
      </c>
      <c r="B1" t="s">
        <v>56</v>
      </c>
      <c r="C1" t="s">
        <v>57</v>
      </c>
      <c r="D1" t="s">
        <v>58</v>
      </c>
      <c r="E1" t="s">
        <v>59</v>
      </c>
      <c r="F1" t="s">
        <v>60</v>
      </c>
      <c r="G1" t="s">
        <v>61</v>
      </c>
      <c r="H1" t="s">
        <v>62</v>
      </c>
      <c r="I1" t="s">
        <v>63</v>
      </c>
      <c r="J1" t="s">
        <v>64</v>
      </c>
      <c r="K1" t="s">
        <v>65</v>
      </c>
      <c r="L1" t="s">
        <v>66</v>
      </c>
    </row>
    <row r="2" spans="1:12">
      <c r="A2" t="str">
        <f>CONCATENATE(I2, B2)</f>
        <v>Scot1</v>
      </c>
      <c r="B2">
        <v>1</v>
      </c>
      <c r="C2">
        <v>7106</v>
      </c>
      <c r="D2">
        <v>6372.9297329350302</v>
      </c>
      <c r="E2">
        <v>227816</v>
      </c>
      <c r="F2">
        <v>1.1150287697786001</v>
      </c>
      <c r="G2">
        <v>3.11918390279875</v>
      </c>
      <c r="H2" t="s">
        <v>1</v>
      </c>
      <c r="I2" t="s">
        <v>0</v>
      </c>
      <c r="J2" t="s">
        <v>1</v>
      </c>
      <c r="K2">
        <v>0</v>
      </c>
      <c r="L2">
        <v>0.98691802472378998</v>
      </c>
    </row>
    <row r="3" spans="1:12">
      <c r="A3" t="str">
        <f t="shared" ref="A3:A63" si="0">CONCATENATE(I3, B3)</f>
        <v>Scot2</v>
      </c>
      <c r="B3">
        <v>2</v>
      </c>
      <c r="C3">
        <v>6170</v>
      </c>
      <c r="D3">
        <v>6056.1587645244599</v>
      </c>
      <c r="E3">
        <v>219005</v>
      </c>
      <c r="F3">
        <v>1.0187975976030199</v>
      </c>
      <c r="G3">
        <v>2.8172872765462</v>
      </c>
      <c r="H3" t="s">
        <v>1</v>
      </c>
      <c r="I3" t="s">
        <v>0</v>
      </c>
      <c r="J3" t="s">
        <v>1</v>
      </c>
      <c r="K3">
        <v>0</v>
      </c>
      <c r="L3">
        <v>0.98691802472378998</v>
      </c>
    </row>
    <row r="4" spans="1:12">
      <c r="A4" t="str">
        <f t="shared" si="0"/>
        <v>Scot3</v>
      </c>
      <c r="B4">
        <v>3</v>
      </c>
      <c r="C4">
        <v>6027</v>
      </c>
      <c r="D4">
        <v>6017.7646621967697</v>
      </c>
      <c r="E4">
        <v>221375</v>
      </c>
      <c r="F4">
        <v>1.0015346791244999</v>
      </c>
      <c r="G4">
        <v>2.7225296442687701</v>
      </c>
      <c r="H4" t="s">
        <v>1</v>
      </c>
      <c r="I4" t="s">
        <v>0</v>
      </c>
      <c r="J4" t="s">
        <v>1</v>
      </c>
      <c r="K4">
        <v>0</v>
      </c>
      <c r="L4">
        <v>0.98691802472378998</v>
      </c>
    </row>
    <row r="5" spans="1:12">
      <c r="A5" t="str">
        <f t="shared" si="0"/>
        <v>Scot4</v>
      </c>
      <c r="B5">
        <v>4</v>
      </c>
      <c r="C5">
        <v>6578</v>
      </c>
      <c r="D5">
        <v>6432.66648210946</v>
      </c>
      <c r="E5">
        <v>224682</v>
      </c>
      <c r="F5">
        <v>1.0225930441590201</v>
      </c>
      <c r="G5">
        <v>2.9276933621741001</v>
      </c>
      <c r="H5" t="s">
        <v>1</v>
      </c>
      <c r="I5" t="s">
        <v>0</v>
      </c>
      <c r="J5" t="s">
        <v>1</v>
      </c>
      <c r="K5">
        <v>0</v>
      </c>
      <c r="L5">
        <v>0.98691802472378998</v>
      </c>
    </row>
    <row r="6" spans="1:12">
      <c r="A6" t="str">
        <f t="shared" si="0"/>
        <v>Scot5</v>
      </c>
      <c r="B6">
        <v>5</v>
      </c>
      <c r="C6">
        <v>6656</v>
      </c>
      <c r="D6">
        <v>6672.3286646571696</v>
      </c>
      <c r="E6">
        <v>232279</v>
      </c>
      <c r="F6">
        <v>0.99755277872571602</v>
      </c>
      <c r="G6">
        <v>2.8655194830354902</v>
      </c>
      <c r="H6" t="s">
        <v>1</v>
      </c>
      <c r="I6" t="s">
        <v>0</v>
      </c>
      <c r="J6" t="s">
        <v>1</v>
      </c>
      <c r="K6">
        <v>0</v>
      </c>
      <c r="L6">
        <v>0.98691802472378998</v>
      </c>
    </row>
    <row r="7" spans="1:12">
      <c r="A7" t="str">
        <f t="shared" si="0"/>
        <v>Scot6</v>
      </c>
      <c r="B7">
        <v>6</v>
      </c>
      <c r="C7">
        <v>6397</v>
      </c>
      <c r="D7">
        <v>6535.0266379310997</v>
      </c>
      <c r="E7">
        <v>226003</v>
      </c>
      <c r="F7">
        <v>0.97887894792502395</v>
      </c>
      <c r="G7">
        <v>2.8304934005300799</v>
      </c>
      <c r="H7" t="s">
        <v>1</v>
      </c>
      <c r="I7" t="s">
        <v>0</v>
      </c>
      <c r="J7" t="s">
        <v>1</v>
      </c>
      <c r="K7">
        <v>0</v>
      </c>
      <c r="L7">
        <v>0.98691802472378998</v>
      </c>
    </row>
    <row r="8" spans="1:12">
      <c r="A8" t="str">
        <f t="shared" si="0"/>
        <v>Scot7</v>
      </c>
      <c r="B8">
        <v>7</v>
      </c>
      <c r="C8">
        <v>5990</v>
      </c>
      <c r="D8">
        <v>6278.7903855907398</v>
      </c>
      <c r="E8">
        <v>224121</v>
      </c>
      <c r="F8">
        <v>0.95400541061961697</v>
      </c>
      <c r="G8">
        <v>2.67266342734505</v>
      </c>
      <c r="H8" t="s">
        <v>1</v>
      </c>
      <c r="I8" t="s">
        <v>0</v>
      </c>
      <c r="J8" t="s">
        <v>1</v>
      </c>
      <c r="K8">
        <v>0</v>
      </c>
      <c r="L8">
        <v>0.98691802472378998</v>
      </c>
    </row>
    <row r="9" spans="1:12">
      <c r="A9" t="str">
        <f t="shared" si="0"/>
        <v>Scot8</v>
      </c>
      <c r="B9">
        <v>8</v>
      </c>
      <c r="C9">
        <v>7052</v>
      </c>
      <c r="D9">
        <v>6728.1598467599097</v>
      </c>
      <c r="E9">
        <v>231343</v>
      </c>
      <c r="F9">
        <v>1.0481320540260399</v>
      </c>
      <c r="G9">
        <v>3.0482876075783598</v>
      </c>
      <c r="H9" t="s">
        <v>1</v>
      </c>
      <c r="I9" t="s">
        <v>0</v>
      </c>
      <c r="J9" t="s">
        <v>1</v>
      </c>
      <c r="K9">
        <v>0</v>
      </c>
      <c r="L9">
        <v>0.98691802472378998</v>
      </c>
    </row>
    <row r="10" spans="1:12">
      <c r="A10" t="str">
        <f t="shared" si="0"/>
        <v>Scot9</v>
      </c>
      <c r="B10">
        <v>9</v>
      </c>
      <c r="C10">
        <v>6951</v>
      </c>
      <c r="D10">
        <v>6778.86133281403</v>
      </c>
      <c r="E10">
        <v>226375</v>
      </c>
      <c r="F10">
        <v>1.0253934486537899</v>
      </c>
      <c r="G10">
        <v>3.07056874654887</v>
      </c>
      <c r="H10" t="s">
        <v>1</v>
      </c>
      <c r="I10" t="s">
        <v>0</v>
      </c>
      <c r="J10" t="s">
        <v>1</v>
      </c>
      <c r="K10">
        <v>0</v>
      </c>
      <c r="L10">
        <v>0.98691802472378998</v>
      </c>
    </row>
    <row r="11" spans="1:12">
      <c r="A11" t="str">
        <f t="shared" si="0"/>
        <v>Scot10</v>
      </c>
      <c r="B11">
        <v>10</v>
      </c>
      <c r="C11">
        <v>6225</v>
      </c>
      <c r="D11">
        <v>6510.8861032762497</v>
      </c>
      <c r="E11">
        <v>228037</v>
      </c>
      <c r="F11">
        <v>0.95609106061118299</v>
      </c>
      <c r="G11">
        <v>2.7298201607633801</v>
      </c>
      <c r="H11" t="s">
        <v>1</v>
      </c>
      <c r="I11" t="s">
        <v>0</v>
      </c>
      <c r="J11" t="s">
        <v>1</v>
      </c>
      <c r="K11">
        <v>0</v>
      </c>
      <c r="L11">
        <v>0.98691802472378998</v>
      </c>
    </row>
    <row r="12" spans="1:12">
      <c r="A12" t="str">
        <f t="shared" si="0"/>
        <v>Scot11</v>
      </c>
      <c r="B12">
        <v>11</v>
      </c>
      <c r="C12">
        <v>5890</v>
      </c>
      <c r="D12">
        <v>6399.2597740491001</v>
      </c>
      <c r="E12">
        <v>226851</v>
      </c>
      <c r="F12">
        <v>0.92041895593701395</v>
      </c>
      <c r="G12">
        <v>2.59641791307951</v>
      </c>
      <c r="H12" t="s">
        <v>1</v>
      </c>
      <c r="I12" t="s">
        <v>0</v>
      </c>
      <c r="J12" t="s">
        <v>1</v>
      </c>
      <c r="K12">
        <v>0</v>
      </c>
      <c r="L12">
        <v>0.98691802472378998</v>
      </c>
    </row>
    <row r="13" spans="1:12">
      <c r="A13" t="str">
        <f t="shared" si="0"/>
        <v>Scot12</v>
      </c>
      <c r="B13">
        <v>12</v>
      </c>
      <c r="C13">
        <v>6409</v>
      </c>
      <c r="D13">
        <v>6668.1681313213403</v>
      </c>
      <c r="E13">
        <v>230400</v>
      </c>
      <c r="F13">
        <v>0.96113353379558797</v>
      </c>
      <c r="G13">
        <v>2.7816840277777799</v>
      </c>
      <c r="H13" t="s">
        <v>1</v>
      </c>
      <c r="I13" t="s">
        <v>0</v>
      </c>
      <c r="J13" t="s">
        <v>1</v>
      </c>
      <c r="K13">
        <v>0</v>
      </c>
      <c r="L13">
        <v>0.98691802472378998</v>
      </c>
    </row>
    <row r="14" spans="1:12">
      <c r="A14" t="str">
        <f t="shared" si="0"/>
        <v>Scot13</v>
      </c>
      <c r="B14">
        <v>13</v>
      </c>
      <c r="C14">
        <v>6362</v>
      </c>
      <c r="D14">
        <v>6743.5367507989204</v>
      </c>
      <c r="E14">
        <v>234499</v>
      </c>
      <c r="F14">
        <v>0.94342186231079395</v>
      </c>
      <c r="G14">
        <v>2.7130179659614799</v>
      </c>
      <c r="H14" t="s">
        <v>1</v>
      </c>
      <c r="I14" t="s">
        <v>0</v>
      </c>
      <c r="J14" t="s">
        <v>1</v>
      </c>
      <c r="K14">
        <v>1</v>
      </c>
      <c r="L14">
        <v>0.98044364312535004</v>
      </c>
    </row>
    <row r="15" spans="1:12">
      <c r="A15" t="str">
        <f t="shared" si="0"/>
        <v>Scot14</v>
      </c>
      <c r="B15">
        <v>14</v>
      </c>
      <c r="C15">
        <v>5886</v>
      </c>
      <c r="D15">
        <v>6607.9151616713298</v>
      </c>
      <c r="E15">
        <v>231983</v>
      </c>
      <c r="F15">
        <v>0.89074993488736998</v>
      </c>
      <c r="G15">
        <v>2.53725488505623</v>
      </c>
      <c r="H15" t="s">
        <v>1</v>
      </c>
      <c r="I15" t="s">
        <v>0</v>
      </c>
      <c r="J15" t="s">
        <v>1</v>
      </c>
      <c r="K15">
        <v>2</v>
      </c>
      <c r="L15">
        <v>0.97396926152691099</v>
      </c>
    </row>
    <row r="16" spans="1:12">
      <c r="A16" t="str">
        <f t="shared" si="0"/>
        <v>Scot15</v>
      </c>
      <c r="B16">
        <v>15</v>
      </c>
      <c r="C16">
        <v>6149</v>
      </c>
      <c r="D16">
        <v>6615.1307090764403</v>
      </c>
      <c r="E16">
        <v>229654</v>
      </c>
      <c r="F16">
        <v>0.92953567668181203</v>
      </c>
      <c r="G16">
        <v>2.6775061614428699</v>
      </c>
      <c r="H16" t="s">
        <v>1</v>
      </c>
      <c r="I16" t="s">
        <v>0</v>
      </c>
      <c r="J16" t="s">
        <v>1</v>
      </c>
      <c r="K16">
        <v>3</v>
      </c>
      <c r="L16">
        <v>0.96749487992847105</v>
      </c>
    </row>
    <row r="17" spans="1:12">
      <c r="A17" t="str">
        <f t="shared" si="0"/>
        <v>Scot16</v>
      </c>
      <c r="B17">
        <v>16</v>
      </c>
      <c r="C17">
        <v>6885</v>
      </c>
      <c r="D17">
        <v>7039.6962271715702</v>
      </c>
      <c r="E17">
        <v>233950</v>
      </c>
      <c r="F17">
        <v>0.97802515589032402</v>
      </c>
      <c r="G17">
        <v>2.9429365248984798</v>
      </c>
      <c r="H17" t="s">
        <v>1</v>
      </c>
      <c r="I17" t="s">
        <v>0</v>
      </c>
      <c r="J17" t="s">
        <v>1</v>
      </c>
      <c r="K17">
        <v>4</v>
      </c>
      <c r="L17">
        <v>0.961020498330032</v>
      </c>
    </row>
    <row r="18" spans="1:12">
      <c r="A18" t="str">
        <f t="shared" si="0"/>
        <v>Scot17</v>
      </c>
      <c r="B18">
        <v>17</v>
      </c>
      <c r="C18">
        <v>7353</v>
      </c>
      <c r="D18">
        <v>7364.41612065972</v>
      </c>
      <c r="E18">
        <v>235452</v>
      </c>
      <c r="F18">
        <v>0.99844982677883998</v>
      </c>
      <c r="G18">
        <v>3.1229295142959099</v>
      </c>
      <c r="H18" t="s">
        <v>1</v>
      </c>
      <c r="I18" t="s">
        <v>0</v>
      </c>
      <c r="J18" t="s">
        <v>1</v>
      </c>
      <c r="K18">
        <v>5</v>
      </c>
      <c r="L18">
        <v>0.95454611673159295</v>
      </c>
    </row>
    <row r="19" spans="1:12">
      <c r="A19" t="str">
        <f t="shared" si="0"/>
        <v>Scot18</v>
      </c>
      <c r="B19">
        <v>18</v>
      </c>
      <c r="C19">
        <v>6432</v>
      </c>
      <c r="D19">
        <v>6943.1125834547702</v>
      </c>
      <c r="E19">
        <v>230207</v>
      </c>
      <c r="F19">
        <v>0.92638566963860902</v>
      </c>
      <c r="G19">
        <v>2.7940071327110001</v>
      </c>
      <c r="H19" t="s">
        <v>1</v>
      </c>
      <c r="I19" t="s">
        <v>0</v>
      </c>
      <c r="J19" t="s">
        <v>1</v>
      </c>
      <c r="K19">
        <v>6</v>
      </c>
      <c r="L19">
        <v>0.94807173513315302</v>
      </c>
    </row>
    <row r="20" spans="1:12">
      <c r="A20" t="str">
        <f t="shared" si="0"/>
        <v>Scot19</v>
      </c>
      <c r="B20">
        <v>19</v>
      </c>
      <c r="C20">
        <v>6054</v>
      </c>
      <c r="D20">
        <v>6791.5517384844898</v>
      </c>
      <c r="E20">
        <v>230071</v>
      </c>
      <c r="F20">
        <v>0.89140158731249397</v>
      </c>
      <c r="G20">
        <v>2.6313616231511099</v>
      </c>
      <c r="H20" t="s">
        <v>1</v>
      </c>
      <c r="I20" t="s">
        <v>0</v>
      </c>
      <c r="J20" t="s">
        <v>1</v>
      </c>
      <c r="K20">
        <v>7</v>
      </c>
      <c r="L20">
        <v>0.94159735353471297</v>
      </c>
    </row>
    <row r="21" spans="1:12">
      <c r="A21" t="str">
        <f t="shared" si="0"/>
        <v>Scot20</v>
      </c>
      <c r="B21">
        <v>20</v>
      </c>
      <c r="C21">
        <v>6694</v>
      </c>
      <c r="D21">
        <v>7114.6885677801602</v>
      </c>
      <c r="E21">
        <v>234740</v>
      </c>
      <c r="F21">
        <v>0.94087041705728203</v>
      </c>
      <c r="G21">
        <v>2.8516656726591099</v>
      </c>
      <c r="H21" t="s">
        <v>1</v>
      </c>
      <c r="I21" t="s">
        <v>0</v>
      </c>
      <c r="J21" t="s">
        <v>1</v>
      </c>
      <c r="K21">
        <v>8</v>
      </c>
      <c r="L21">
        <v>0.93512297193627403</v>
      </c>
    </row>
    <row r="22" spans="1:12">
      <c r="A22" t="str">
        <f t="shared" si="0"/>
        <v>Scot21</v>
      </c>
      <c r="B22">
        <v>21</v>
      </c>
      <c r="C22">
        <v>7167</v>
      </c>
      <c r="D22">
        <v>7447.1714312045897</v>
      </c>
      <c r="E22">
        <v>235966</v>
      </c>
      <c r="F22">
        <v>0.96237881270859005</v>
      </c>
      <c r="G22">
        <v>3.0373019841841602</v>
      </c>
      <c r="H22" t="s">
        <v>1</v>
      </c>
      <c r="I22" t="s">
        <v>0</v>
      </c>
      <c r="J22" t="s">
        <v>1</v>
      </c>
      <c r="K22">
        <v>9</v>
      </c>
      <c r="L22">
        <v>0.92864859033783398</v>
      </c>
    </row>
    <row r="23" spans="1:12">
      <c r="A23" t="str">
        <f t="shared" si="0"/>
        <v>Scot22</v>
      </c>
      <c r="B23">
        <v>22</v>
      </c>
      <c r="C23">
        <v>6072</v>
      </c>
      <c r="D23">
        <v>7065.8226660739201</v>
      </c>
      <c r="E23">
        <v>230813</v>
      </c>
      <c r="F23">
        <v>0.85934791841781</v>
      </c>
      <c r="G23">
        <v>2.6307010437020399</v>
      </c>
      <c r="H23" t="s">
        <v>1</v>
      </c>
      <c r="I23" t="s">
        <v>0</v>
      </c>
      <c r="J23" t="s">
        <v>1</v>
      </c>
      <c r="K23">
        <v>10</v>
      </c>
      <c r="L23">
        <v>0.92217420873939504</v>
      </c>
    </row>
    <row r="24" spans="1:12">
      <c r="A24" t="str">
        <f t="shared" si="0"/>
        <v>Scot23</v>
      </c>
      <c r="B24">
        <v>23</v>
      </c>
      <c r="C24">
        <v>6092</v>
      </c>
      <c r="D24">
        <v>6988.7458222471196</v>
      </c>
      <c r="E24">
        <v>223664</v>
      </c>
      <c r="F24">
        <v>0.871687160321023</v>
      </c>
      <c r="G24">
        <v>2.72372844981758</v>
      </c>
      <c r="H24" t="s">
        <v>1</v>
      </c>
      <c r="I24" t="s">
        <v>0</v>
      </c>
      <c r="J24" t="s">
        <v>1</v>
      </c>
      <c r="K24">
        <v>11</v>
      </c>
      <c r="L24">
        <v>0.91569982714095599</v>
      </c>
    </row>
    <row r="25" spans="1:12">
      <c r="A25" t="str">
        <f t="shared" si="0"/>
        <v>Scot24</v>
      </c>
      <c r="B25">
        <v>24</v>
      </c>
      <c r="C25">
        <v>7055</v>
      </c>
      <c r="D25">
        <v>7570.5015752643703</v>
      </c>
      <c r="E25">
        <v>226088</v>
      </c>
      <c r="F25">
        <v>0.93190654936937001</v>
      </c>
      <c r="G25">
        <v>3.1204663670783099</v>
      </c>
      <c r="H25" t="s">
        <v>1</v>
      </c>
      <c r="I25" t="s">
        <v>0</v>
      </c>
      <c r="J25" t="s">
        <v>1</v>
      </c>
      <c r="K25">
        <v>12</v>
      </c>
      <c r="L25">
        <v>0.90922544554251605</v>
      </c>
    </row>
    <row r="26" spans="1:12">
      <c r="A26" t="str">
        <f t="shared" si="0"/>
        <v>Scot25</v>
      </c>
      <c r="B26">
        <v>25</v>
      </c>
      <c r="C26">
        <v>7069</v>
      </c>
      <c r="D26">
        <v>7601.8477313923904</v>
      </c>
      <c r="E26">
        <v>226301</v>
      </c>
      <c r="F26">
        <v>0.92990549794993105</v>
      </c>
      <c r="G26">
        <v>3.1237157590996101</v>
      </c>
      <c r="H26" t="s">
        <v>1</v>
      </c>
      <c r="I26" t="s">
        <v>0</v>
      </c>
      <c r="J26" t="s">
        <v>1</v>
      </c>
      <c r="K26">
        <v>13</v>
      </c>
      <c r="L26">
        <v>0.902751063944077</v>
      </c>
    </row>
    <row r="27" spans="1:12">
      <c r="A27" t="str">
        <f t="shared" si="0"/>
        <v>Scot26</v>
      </c>
      <c r="B27">
        <v>26</v>
      </c>
      <c r="C27">
        <v>6265</v>
      </c>
      <c r="D27">
        <v>7284.8967587908501</v>
      </c>
      <c r="E27">
        <v>221766</v>
      </c>
      <c r="F27">
        <v>0.859998460848451</v>
      </c>
      <c r="G27">
        <v>2.8250498272954401</v>
      </c>
      <c r="H27" t="s">
        <v>1</v>
      </c>
      <c r="I27" t="s">
        <v>0</v>
      </c>
      <c r="J27" t="s">
        <v>1</v>
      </c>
      <c r="K27">
        <v>14</v>
      </c>
      <c r="L27">
        <v>0.89627668234563695</v>
      </c>
    </row>
    <row r="28" spans="1:12">
      <c r="A28" t="str">
        <f t="shared" si="0"/>
        <v>Scot27</v>
      </c>
      <c r="B28">
        <v>27</v>
      </c>
      <c r="C28">
        <v>6118</v>
      </c>
      <c r="D28">
        <v>7195.0346744787203</v>
      </c>
      <c r="E28">
        <v>219125</v>
      </c>
      <c r="F28">
        <v>0.85030861931784196</v>
      </c>
      <c r="G28">
        <v>2.79201369081574</v>
      </c>
      <c r="H28" t="s">
        <v>1</v>
      </c>
      <c r="I28" t="s">
        <v>0</v>
      </c>
      <c r="J28" t="s">
        <v>1</v>
      </c>
      <c r="K28">
        <v>15</v>
      </c>
      <c r="L28">
        <v>0.88980230074719802</v>
      </c>
    </row>
    <row r="29" spans="1:12">
      <c r="A29" t="str">
        <f t="shared" si="0"/>
        <v>Scot28</v>
      </c>
      <c r="B29">
        <v>28</v>
      </c>
      <c r="C29">
        <v>7554</v>
      </c>
      <c r="D29">
        <v>8080.5551661795198</v>
      </c>
      <c r="E29">
        <v>225750</v>
      </c>
      <c r="F29">
        <v>0.934836758694085</v>
      </c>
      <c r="G29">
        <v>3.3461794019933602</v>
      </c>
      <c r="H29" t="s">
        <v>1</v>
      </c>
      <c r="I29" t="s">
        <v>0</v>
      </c>
      <c r="J29" t="s">
        <v>1</v>
      </c>
      <c r="K29">
        <v>16</v>
      </c>
      <c r="L29">
        <v>0.88332791914875797</v>
      </c>
    </row>
    <row r="30" spans="1:12">
      <c r="A30" t="str">
        <f t="shared" si="0"/>
        <v>Scot29</v>
      </c>
      <c r="B30">
        <v>29</v>
      </c>
      <c r="C30">
        <v>7411</v>
      </c>
      <c r="D30">
        <v>7957.9315814812298</v>
      </c>
      <c r="E30">
        <v>221373</v>
      </c>
      <c r="F30">
        <v>0.931272143284823</v>
      </c>
      <c r="G30">
        <v>3.3477434014084801</v>
      </c>
      <c r="H30" t="s">
        <v>1</v>
      </c>
      <c r="I30" t="s">
        <v>0</v>
      </c>
      <c r="J30" t="s">
        <v>1</v>
      </c>
      <c r="K30">
        <v>17</v>
      </c>
      <c r="L30">
        <v>0.87685353755031903</v>
      </c>
    </row>
    <row r="31" spans="1:12">
      <c r="A31" t="str">
        <f t="shared" si="0"/>
        <v>C121H1</v>
      </c>
      <c r="B31">
        <v>1</v>
      </c>
      <c r="C31">
        <v>25</v>
      </c>
      <c r="D31">
        <v>23.711748604082601</v>
      </c>
      <c r="E31">
        <v>859</v>
      </c>
      <c r="F31">
        <v>1.05432966658965</v>
      </c>
      <c r="G31">
        <v>2.9103608847497102</v>
      </c>
      <c r="H31" t="s">
        <v>67</v>
      </c>
      <c r="I31" t="s">
        <v>74</v>
      </c>
      <c r="J31" t="s">
        <v>75</v>
      </c>
      <c r="K31">
        <v>0</v>
      </c>
      <c r="L31">
        <v>1.0934689257222301</v>
      </c>
    </row>
    <row r="32" spans="1:12">
      <c r="A32" t="str">
        <f t="shared" si="0"/>
        <v>C313H1</v>
      </c>
      <c r="B32">
        <v>1</v>
      </c>
      <c r="C32">
        <v>169</v>
      </c>
      <c r="D32">
        <v>126.569329843869</v>
      </c>
      <c r="E32">
        <v>4703</v>
      </c>
      <c r="F32">
        <v>1.33523658700312</v>
      </c>
      <c r="G32">
        <v>3.5934509887305999</v>
      </c>
      <c r="H32" t="s">
        <v>67</v>
      </c>
      <c r="I32" t="s">
        <v>76</v>
      </c>
      <c r="J32" t="s">
        <v>77</v>
      </c>
      <c r="K32">
        <v>0</v>
      </c>
      <c r="L32">
        <v>1.1238163888074799</v>
      </c>
    </row>
    <row r="33" spans="1:12">
      <c r="A33" t="str">
        <f t="shared" si="0"/>
        <v>C418H1</v>
      </c>
      <c r="B33">
        <v>1</v>
      </c>
      <c r="C33">
        <v>312</v>
      </c>
      <c r="D33">
        <v>263.87368848913599</v>
      </c>
      <c r="E33">
        <v>9762</v>
      </c>
      <c r="F33">
        <v>1.1823838965772699</v>
      </c>
      <c r="G33">
        <v>3.1960663798401998</v>
      </c>
      <c r="H33" t="s">
        <v>67</v>
      </c>
      <c r="I33" t="s">
        <v>78</v>
      </c>
      <c r="J33" t="s">
        <v>79</v>
      </c>
      <c r="K33">
        <v>0</v>
      </c>
      <c r="L33">
        <v>1.0790052841872</v>
      </c>
    </row>
    <row r="34" spans="1:12">
      <c r="A34" t="str">
        <f t="shared" si="0"/>
        <v>D102H1</v>
      </c>
      <c r="B34">
        <v>1</v>
      </c>
      <c r="C34">
        <v>24</v>
      </c>
      <c r="D34">
        <v>31.1908075637763</v>
      </c>
      <c r="E34">
        <v>3381</v>
      </c>
      <c r="F34">
        <v>0.76945747399860798</v>
      </c>
      <c r="G34">
        <v>0.70984915705412599</v>
      </c>
      <c r="H34" t="s">
        <v>67</v>
      </c>
      <c r="I34" t="s">
        <v>80</v>
      </c>
      <c r="J34" t="s">
        <v>81</v>
      </c>
      <c r="K34">
        <v>0</v>
      </c>
      <c r="L34">
        <v>0.81484672133748004</v>
      </c>
    </row>
    <row r="35" spans="1:12">
      <c r="A35" t="str">
        <f t="shared" si="0"/>
        <v>F704H1</v>
      </c>
      <c r="B35">
        <v>1</v>
      </c>
      <c r="C35">
        <v>186</v>
      </c>
      <c r="D35">
        <v>174.051557210596</v>
      </c>
      <c r="E35">
        <v>4207</v>
      </c>
      <c r="F35">
        <v>1.06864887037435</v>
      </c>
      <c r="G35">
        <v>4.4212027573092501</v>
      </c>
      <c r="H35" t="s">
        <v>67</v>
      </c>
      <c r="I35" t="s">
        <v>82</v>
      </c>
      <c r="J35" t="s">
        <v>83</v>
      </c>
      <c r="K35">
        <v>0</v>
      </c>
      <c r="L35">
        <v>0.90598389158084702</v>
      </c>
    </row>
    <row r="36" spans="1:12">
      <c r="A36" t="str">
        <f t="shared" si="0"/>
        <v>G107H1</v>
      </c>
      <c r="B36">
        <v>1</v>
      </c>
      <c r="C36">
        <v>308</v>
      </c>
      <c r="D36">
        <v>278.72441228106499</v>
      </c>
      <c r="E36">
        <v>10689</v>
      </c>
      <c r="F36">
        <v>1.10503417149343</v>
      </c>
      <c r="G36">
        <v>2.88146692861821</v>
      </c>
      <c r="H36" t="s">
        <v>67</v>
      </c>
      <c r="I36" t="s">
        <v>84</v>
      </c>
      <c r="J36" t="s">
        <v>85</v>
      </c>
      <c r="K36">
        <v>0</v>
      </c>
      <c r="L36">
        <v>0.96528387905070401</v>
      </c>
    </row>
    <row r="37" spans="1:12">
      <c r="A37" t="str">
        <f t="shared" si="0"/>
        <v>G405H1</v>
      </c>
      <c r="B37">
        <v>1</v>
      </c>
      <c r="C37">
        <v>176</v>
      </c>
      <c r="D37">
        <v>198.15314206798999</v>
      </c>
      <c r="E37">
        <v>7065</v>
      </c>
      <c r="F37">
        <v>0.88820191374816204</v>
      </c>
      <c r="G37">
        <v>2.4911535739561201</v>
      </c>
      <c r="H37" t="s">
        <v>67</v>
      </c>
      <c r="I37" t="s">
        <v>86</v>
      </c>
      <c r="J37" t="s">
        <v>87</v>
      </c>
      <c r="K37">
        <v>0</v>
      </c>
      <c r="L37">
        <v>0.89545680269219396</v>
      </c>
    </row>
    <row r="38" spans="1:12">
      <c r="A38" t="str">
        <f t="shared" si="0"/>
        <v>H103H1</v>
      </c>
      <c r="B38">
        <v>1</v>
      </c>
      <c r="C38">
        <v>35</v>
      </c>
      <c r="D38">
        <v>29.363050830334998</v>
      </c>
      <c r="E38">
        <v>836</v>
      </c>
      <c r="F38">
        <v>1.19197423327148</v>
      </c>
      <c r="G38">
        <v>4.1866028708133998</v>
      </c>
      <c r="H38" t="s">
        <v>67</v>
      </c>
      <c r="I38" t="s">
        <v>88</v>
      </c>
      <c r="J38" t="s">
        <v>89</v>
      </c>
      <c r="K38">
        <v>0</v>
      </c>
      <c r="L38">
        <v>0.99523299389320197</v>
      </c>
    </row>
    <row r="39" spans="1:12">
      <c r="A39" t="str">
        <f t="shared" si="0"/>
        <v>H202H1</v>
      </c>
      <c r="B39">
        <v>1</v>
      </c>
      <c r="C39">
        <v>157</v>
      </c>
      <c r="D39">
        <v>182.92631625449201</v>
      </c>
      <c r="E39">
        <v>7491</v>
      </c>
      <c r="F39">
        <v>0.85826907366120597</v>
      </c>
      <c r="G39">
        <v>2.0958483513549599</v>
      </c>
      <c r="H39" t="s">
        <v>67</v>
      </c>
      <c r="I39" t="s">
        <v>90</v>
      </c>
      <c r="J39" t="s">
        <v>91</v>
      </c>
      <c r="K39">
        <v>0</v>
      </c>
      <c r="L39">
        <v>0.78892054618645102</v>
      </c>
    </row>
    <row r="40" spans="1:12">
      <c r="A40" t="str">
        <f t="shared" si="0"/>
        <v>H212H1</v>
      </c>
      <c r="B40">
        <v>1</v>
      </c>
      <c r="C40">
        <v>17</v>
      </c>
      <c r="D40">
        <v>16.348510759105</v>
      </c>
      <c r="E40">
        <v>629</v>
      </c>
      <c r="F40">
        <v>1.0398500664980901</v>
      </c>
      <c r="G40">
        <v>2.7027027027027</v>
      </c>
      <c r="H40" t="s">
        <v>67</v>
      </c>
      <c r="I40" t="s">
        <v>92</v>
      </c>
      <c r="J40" t="s">
        <v>93</v>
      </c>
      <c r="K40">
        <v>0</v>
      </c>
      <c r="L40">
        <v>1.09619686599983</v>
      </c>
    </row>
    <row r="41" spans="1:12">
      <c r="A41" t="str">
        <f t="shared" si="0"/>
        <v>L106H1</v>
      </c>
      <c r="B41">
        <v>1</v>
      </c>
      <c r="C41">
        <v>244</v>
      </c>
      <c r="D41">
        <v>206.25101725618401</v>
      </c>
      <c r="E41">
        <v>6778</v>
      </c>
      <c r="F41">
        <v>1.1830244681747599</v>
      </c>
      <c r="G41">
        <v>3.5998819710829202</v>
      </c>
      <c r="H41" t="s">
        <v>67</v>
      </c>
      <c r="I41" t="s">
        <v>94</v>
      </c>
      <c r="J41" t="s">
        <v>95</v>
      </c>
      <c r="K41">
        <v>0</v>
      </c>
      <c r="L41">
        <v>0.95517336539513797</v>
      </c>
    </row>
    <row r="42" spans="1:12">
      <c r="A42" t="str">
        <f t="shared" si="0"/>
        <v>L302H1</v>
      </c>
      <c r="B42">
        <v>1</v>
      </c>
      <c r="C42">
        <v>234</v>
      </c>
      <c r="D42">
        <v>196.161352480061</v>
      </c>
      <c r="E42">
        <v>6437</v>
      </c>
      <c r="F42">
        <v>1.19289552728683</v>
      </c>
      <c r="G42">
        <v>3.6352338045673398</v>
      </c>
      <c r="H42" t="s">
        <v>67</v>
      </c>
      <c r="I42" t="s">
        <v>96</v>
      </c>
      <c r="J42" t="s">
        <v>97</v>
      </c>
      <c r="K42">
        <v>0</v>
      </c>
      <c r="L42">
        <v>0.93275514338961096</v>
      </c>
    </row>
    <row r="43" spans="1:12">
      <c r="A43" t="str">
        <f t="shared" si="0"/>
        <v>L308H1</v>
      </c>
      <c r="B43">
        <v>1</v>
      </c>
      <c r="C43">
        <v>238</v>
      </c>
      <c r="D43">
        <v>186.60056356745</v>
      </c>
      <c r="E43">
        <v>8934</v>
      </c>
      <c r="F43">
        <v>1.2754516677221599</v>
      </c>
      <c r="G43">
        <v>2.6639802999776099</v>
      </c>
      <c r="H43" t="s">
        <v>67</v>
      </c>
      <c r="I43" t="s">
        <v>98</v>
      </c>
      <c r="J43" t="s">
        <v>99</v>
      </c>
      <c r="K43">
        <v>0</v>
      </c>
      <c r="L43">
        <v>1.0828731278539101</v>
      </c>
    </row>
    <row r="44" spans="1:12">
      <c r="A44" t="str">
        <f t="shared" si="0"/>
        <v>N101H1</v>
      </c>
      <c r="B44">
        <v>1</v>
      </c>
      <c r="C44">
        <v>400</v>
      </c>
      <c r="D44">
        <v>386.30339600528799</v>
      </c>
      <c r="E44">
        <v>14542</v>
      </c>
      <c r="F44">
        <v>1.03545556196592</v>
      </c>
      <c r="G44">
        <v>2.7506532801540402</v>
      </c>
      <c r="H44" t="s">
        <v>67</v>
      </c>
      <c r="I44" t="s">
        <v>100</v>
      </c>
      <c r="J44" t="s">
        <v>101</v>
      </c>
      <c r="K44">
        <v>0</v>
      </c>
      <c r="L44">
        <v>0.91059845829660402</v>
      </c>
    </row>
    <row r="45" spans="1:12">
      <c r="A45" t="str">
        <f t="shared" si="0"/>
        <v>N411H1</v>
      </c>
      <c r="B45">
        <v>1</v>
      </c>
      <c r="C45">
        <v>88</v>
      </c>
      <c r="D45">
        <v>79.129001315523993</v>
      </c>
      <c r="E45">
        <v>3164</v>
      </c>
      <c r="F45">
        <v>1.1121080581960501</v>
      </c>
      <c r="G45">
        <v>2.78128950695322</v>
      </c>
      <c r="H45" t="s">
        <v>67</v>
      </c>
      <c r="I45" t="s">
        <v>102</v>
      </c>
      <c r="J45" t="s">
        <v>103</v>
      </c>
      <c r="K45">
        <v>0</v>
      </c>
      <c r="L45">
        <v>1.06348529777532</v>
      </c>
    </row>
    <row r="46" spans="1:12">
      <c r="A46" t="str">
        <f t="shared" si="0"/>
        <v>R101H1</v>
      </c>
      <c r="B46">
        <v>1</v>
      </c>
      <c r="C46">
        <v>27</v>
      </c>
      <c r="D46">
        <v>22.951625199646799</v>
      </c>
      <c r="E46">
        <v>723</v>
      </c>
      <c r="F46">
        <v>1.1763872826058299</v>
      </c>
      <c r="G46">
        <v>3.7344398340248999</v>
      </c>
      <c r="H46" t="s">
        <v>67</v>
      </c>
      <c r="I46" t="s">
        <v>104</v>
      </c>
      <c r="J46" t="s">
        <v>105</v>
      </c>
      <c r="K46">
        <v>0</v>
      </c>
      <c r="L46">
        <v>1.23245129966013</v>
      </c>
    </row>
    <row r="47" spans="1:12">
      <c r="A47" t="str">
        <f t="shared" si="0"/>
        <v>S116H1</v>
      </c>
      <c r="B47">
        <v>1</v>
      </c>
      <c r="C47">
        <v>249</v>
      </c>
      <c r="D47">
        <v>310.808448949992</v>
      </c>
      <c r="E47">
        <v>6669</v>
      </c>
      <c r="F47">
        <v>0.80113652264344803</v>
      </c>
      <c r="G47">
        <v>3.7336932073774198</v>
      </c>
      <c r="H47" t="s">
        <v>67</v>
      </c>
      <c r="I47" t="s">
        <v>106</v>
      </c>
      <c r="J47" t="s">
        <v>107</v>
      </c>
      <c r="K47">
        <v>0</v>
      </c>
      <c r="L47">
        <v>0.76067462023687005</v>
      </c>
    </row>
    <row r="48" spans="1:12">
      <c r="A48" t="str">
        <f t="shared" si="0"/>
        <v>S308H1</v>
      </c>
      <c r="B48">
        <v>1</v>
      </c>
      <c r="C48">
        <v>165</v>
      </c>
      <c r="D48">
        <v>167.63361651357999</v>
      </c>
      <c r="E48">
        <v>7382</v>
      </c>
      <c r="F48">
        <v>0.98428944880893299</v>
      </c>
      <c r="G48">
        <v>2.23516662151179</v>
      </c>
      <c r="H48" t="s">
        <v>67</v>
      </c>
      <c r="I48" t="s">
        <v>108</v>
      </c>
      <c r="J48" t="s">
        <v>109</v>
      </c>
      <c r="K48">
        <v>0</v>
      </c>
      <c r="L48">
        <v>0.85986192142153395</v>
      </c>
    </row>
    <row r="49" spans="1:12">
      <c r="A49" t="str">
        <f t="shared" si="0"/>
        <v>S314H1</v>
      </c>
      <c r="B49">
        <v>1</v>
      </c>
      <c r="C49">
        <v>421</v>
      </c>
      <c r="D49">
        <v>407.059382918057</v>
      </c>
      <c r="E49">
        <v>12182</v>
      </c>
      <c r="F49">
        <v>1.03424713362951</v>
      </c>
      <c r="G49">
        <v>3.4559185683795799</v>
      </c>
      <c r="H49" t="s">
        <v>67</v>
      </c>
      <c r="I49" t="s">
        <v>110</v>
      </c>
      <c r="J49" t="s">
        <v>111</v>
      </c>
      <c r="K49">
        <v>0</v>
      </c>
      <c r="L49">
        <v>0.86089888671765602</v>
      </c>
    </row>
    <row r="50" spans="1:12">
      <c r="A50" t="str">
        <f t="shared" si="0"/>
        <v>T101H1</v>
      </c>
      <c r="B50">
        <v>1</v>
      </c>
      <c r="C50">
        <v>373</v>
      </c>
      <c r="D50">
        <v>398.44687346715199</v>
      </c>
      <c r="E50">
        <v>11863</v>
      </c>
      <c r="F50">
        <v>0.936134839644439</v>
      </c>
      <c r="G50">
        <v>3.1442299586950999</v>
      </c>
      <c r="H50" t="s">
        <v>67</v>
      </c>
      <c r="I50" t="s">
        <v>112</v>
      </c>
      <c r="J50" t="s">
        <v>113</v>
      </c>
      <c r="K50">
        <v>0</v>
      </c>
      <c r="L50">
        <v>0.91691753657432595</v>
      </c>
    </row>
    <row r="51" spans="1:12">
      <c r="A51" t="str">
        <f t="shared" si="0"/>
        <v>T202H1</v>
      </c>
      <c r="B51">
        <v>1</v>
      </c>
      <c r="C51">
        <v>141</v>
      </c>
      <c r="D51">
        <v>128.90630416278901</v>
      </c>
      <c r="E51">
        <v>3318</v>
      </c>
      <c r="F51">
        <v>1.0938177222266701</v>
      </c>
      <c r="G51">
        <v>4.2495479204339999</v>
      </c>
      <c r="H51" t="s">
        <v>67</v>
      </c>
      <c r="I51" t="s">
        <v>114</v>
      </c>
      <c r="J51" t="s">
        <v>115</v>
      </c>
      <c r="K51">
        <v>0</v>
      </c>
      <c r="L51">
        <v>0.89244145807722297</v>
      </c>
    </row>
    <row r="52" spans="1:12">
      <c r="A52" t="str">
        <f t="shared" si="0"/>
        <v>T312H1</v>
      </c>
      <c r="B52">
        <v>1</v>
      </c>
      <c r="C52">
        <v>1</v>
      </c>
      <c r="D52">
        <v>4.1538980335403197</v>
      </c>
      <c r="E52">
        <v>1410</v>
      </c>
      <c r="F52">
        <v>0.24073773403332899</v>
      </c>
      <c r="G52">
        <v>7.09219858156028E-2</v>
      </c>
      <c r="H52" t="s">
        <v>67</v>
      </c>
      <c r="I52" t="s">
        <v>116</v>
      </c>
      <c r="J52" t="s">
        <v>117</v>
      </c>
      <c r="K52">
        <v>0</v>
      </c>
      <c r="L52">
        <v>0.62819234318905504</v>
      </c>
    </row>
    <row r="53" spans="1:12">
      <c r="A53" t="str">
        <f t="shared" si="0"/>
        <v>V217H1</v>
      </c>
      <c r="B53">
        <v>1</v>
      </c>
      <c r="C53">
        <v>4</v>
      </c>
      <c r="D53">
        <v>5.33016008819079</v>
      </c>
      <c r="E53">
        <v>1655</v>
      </c>
      <c r="F53">
        <v>0.75044650326022599</v>
      </c>
      <c r="G53">
        <v>0.24169184290030199</v>
      </c>
      <c r="H53" t="s">
        <v>67</v>
      </c>
      <c r="I53" t="s">
        <v>118</v>
      </c>
      <c r="J53" t="s">
        <v>119</v>
      </c>
      <c r="K53">
        <v>0</v>
      </c>
      <c r="L53">
        <v>0.97329027049884898</v>
      </c>
    </row>
    <row r="54" spans="1:12">
      <c r="A54" t="str">
        <f t="shared" si="0"/>
        <v>W107H1</v>
      </c>
      <c r="B54">
        <v>1</v>
      </c>
      <c r="C54">
        <v>20</v>
      </c>
      <c r="D54">
        <v>13.1787531000312</v>
      </c>
      <c r="E54">
        <v>1000</v>
      </c>
      <c r="F54">
        <v>1.5175942555561399</v>
      </c>
      <c r="G54">
        <v>2</v>
      </c>
      <c r="H54" t="s">
        <v>67</v>
      </c>
      <c r="I54" t="s">
        <v>120</v>
      </c>
      <c r="J54" t="s">
        <v>121</v>
      </c>
      <c r="K54">
        <v>0</v>
      </c>
      <c r="L54">
        <v>1.2254367995431901</v>
      </c>
    </row>
    <row r="55" spans="1:12">
      <c r="A55" t="str">
        <f t="shared" si="0"/>
        <v>Z102H1</v>
      </c>
      <c r="B55">
        <v>1</v>
      </c>
      <c r="C55">
        <v>22</v>
      </c>
      <c r="D55">
        <v>20.6389960574529</v>
      </c>
      <c r="E55">
        <v>868</v>
      </c>
      <c r="F55">
        <v>1.06594332102</v>
      </c>
      <c r="G55">
        <v>2.5345622119815698</v>
      </c>
      <c r="H55" t="s">
        <v>67</v>
      </c>
      <c r="I55" t="s">
        <v>122</v>
      </c>
      <c r="J55" t="s">
        <v>123</v>
      </c>
      <c r="K55">
        <v>0</v>
      </c>
      <c r="L55">
        <v>1.02324738165569</v>
      </c>
    </row>
    <row r="56" spans="1:12">
      <c r="A56" t="str">
        <f t="shared" si="0"/>
        <v>A111H2</v>
      </c>
      <c r="B56">
        <v>2</v>
      </c>
      <c r="C56">
        <v>241</v>
      </c>
      <c r="D56">
        <v>255.13898769526699</v>
      </c>
      <c r="E56">
        <v>9806</v>
      </c>
      <c r="F56">
        <v>0.94458319434835303</v>
      </c>
      <c r="G56">
        <v>2.45767897205792</v>
      </c>
      <c r="H56" t="s">
        <v>67</v>
      </c>
      <c r="I56" t="s">
        <v>68</v>
      </c>
      <c r="J56" t="s">
        <v>69</v>
      </c>
      <c r="K56">
        <v>0</v>
      </c>
      <c r="L56">
        <v>0.90954680117604003</v>
      </c>
    </row>
    <row r="57" spans="1:12">
      <c r="A57" t="str">
        <f t="shared" si="0"/>
        <v>A210H2</v>
      </c>
      <c r="B57">
        <v>2</v>
      </c>
      <c r="C57">
        <v>174</v>
      </c>
      <c r="D57">
        <v>186.34066347671501</v>
      </c>
      <c r="E57">
        <v>6943</v>
      </c>
      <c r="F57">
        <v>0.93377364206789304</v>
      </c>
      <c r="G57">
        <v>2.5061212732248301</v>
      </c>
      <c r="H57" t="s">
        <v>67</v>
      </c>
      <c r="I57" t="s">
        <v>70</v>
      </c>
      <c r="J57" t="s">
        <v>71</v>
      </c>
      <c r="K57">
        <v>0</v>
      </c>
      <c r="L57">
        <v>0.96821973745572898</v>
      </c>
    </row>
    <row r="58" spans="1:12">
      <c r="A58" t="str">
        <f t="shared" si="0"/>
        <v>B120H2</v>
      </c>
      <c r="B58">
        <v>2</v>
      </c>
      <c r="C58">
        <v>115</v>
      </c>
      <c r="D58">
        <v>128.392893570312</v>
      </c>
      <c r="E58">
        <v>4038</v>
      </c>
      <c r="F58">
        <v>0.89568820206565403</v>
      </c>
      <c r="G58">
        <v>2.8479445269935599</v>
      </c>
      <c r="H58" t="s">
        <v>67</v>
      </c>
      <c r="I58" t="s">
        <v>72</v>
      </c>
      <c r="J58" t="s">
        <v>73</v>
      </c>
      <c r="K58">
        <v>0</v>
      </c>
      <c r="L58">
        <v>0.93471539957397198</v>
      </c>
    </row>
    <row r="59" spans="1:12">
      <c r="A59" t="str">
        <f t="shared" si="0"/>
        <v>C121H2</v>
      </c>
      <c r="B59">
        <v>2</v>
      </c>
      <c r="C59">
        <v>17</v>
      </c>
      <c r="D59">
        <v>19.0613282117293</v>
      </c>
      <c r="E59">
        <v>791</v>
      </c>
      <c r="F59">
        <v>0.89185810197314397</v>
      </c>
      <c r="G59">
        <v>2.1491782553729499</v>
      </c>
      <c r="H59" t="s">
        <v>67</v>
      </c>
      <c r="I59" t="s">
        <v>74</v>
      </c>
      <c r="J59" t="s">
        <v>75</v>
      </c>
      <c r="K59">
        <v>0</v>
      </c>
      <c r="L59">
        <v>1.0934689257222301</v>
      </c>
    </row>
    <row r="60" spans="1:12">
      <c r="A60" t="str">
        <f t="shared" si="0"/>
        <v>C313H2</v>
      </c>
      <c r="B60">
        <v>2</v>
      </c>
      <c r="C60">
        <v>152</v>
      </c>
      <c r="D60">
        <v>125.517918490855</v>
      </c>
      <c r="E60">
        <v>4700</v>
      </c>
      <c r="F60">
        <v>1.21098247825926</v>
      </c>
      <c r="G60">
        <v>3.23404255319149</v>
      </c>
      <c r="H60" t="s">
        <v>67</v>
      </c>
      <c r="I60" t="s">
        <v>76</v>
      </c>
      <c r="J60" t="s">
        <v>77</v>
      </c>
      <c r="K60">
        <v>0</v>
      </c>
      <c r="L60">
        <v>1.1238163888074799</v>
      </c>
    </row>
    <row r="61" spans="1:12">
      <c r="A61" t="str">
        <f t="shared" si="0"/>
        <v>C418H2</v>
      </c>
      <c r="B61">
        <v>2</v>
      </c>
      <c r="C61">
        <v>285</v>
      </c>
      <c r="D61">
        <v>255.85744873801301</v>
      </c>
      <c r="E61">
        <v>9382</v>
      </c>
      <c r="F61">
        <v>1.1139015158860099</v>
      </c>
      <c r="G61">
        <v>3.0377318269025801</v>
      </c>
      <c r="H61" t="s">
        <v>67</v>
      </c>
      <c r="I61" t="s">
        <v>78</v>
      </c>
      <c r="J61" t="s">
        <v>79</v>
      </c>
      <c r="K61">
        <v>0</v>
      </c>
      <c r="L61">
        <v>1.0790052841872</v>
      </c>
    </row>
    <row r="62" spans="1:12">
      <c r="A62" t="str">
        <f t="shared" si="0"/>
        <v>D102H2</v>
      </c>
      <c r="B62">
        <v>2</v>
      </c>
      <c r="C62">
        <v>23</v>
      </c>
      <c r="D62">
        <v>27.920959486368901</v>
      </c>
      <c r="E62">
        <v>2982</v>
      </c>
      <c r="F62">
        <v>0.82375392619400001</v>
      </c>
      <c r="G62">
        <v>0.77129443326626401</v>
      </c>
      <c r="H62" t="s">
        <v>67</v>
      </c>
      <c r="I62" t="s">
        <v>80</v>
      </c>
      <c r="J62" t="s">
        <v>81</v>
      </c>
      <c r="K62">
        <v>0</v>
      </c>
      <c r="L62">
        <v>0.81484672133748004</v>
      </c>
    </row>
    <row r="63" spans="1:12">
      <c r="A63" t="str">
        <f t="shared" si="0"/>
        <v>F704H2</v>
      </c>
      <c r="B63">
        <v>2</v>
      </c>
      <c r="C63">
        <v>169</v>
      </c>
      <c r="D63">
        <v>178.026189123584</v>
      </c>
      <c r="E63">
        <v>3842</v>
      </c>
      <c r="F63">
        <v>0.94929853204171899</v>
      </c>
      <c r="G63">
        <v>4.3987506507027598</v>
      </c>
      <c r="H63" t="s">
        <v>67</v>
      </c>
      <c r="I63" t="s">
        <v>82</v>
      </c>
      <c r="J63" t="s">
        <v>83</v>
      </c>
      <c r="K63">
        <v>0</v>
      </c>
      <c r="L63">
        <v>0.90598389158084702</v>
      </c>
    </row>
    <row r="64" spans="1:12">
      <c r="A64" t="str">
        <f t="shared" ref="A64:A127" si="1">CONCATENATE(I64, B64)</f>
        <v>G107H2</v>
      </c>
      <c r="B64">
        <v>2</v>
      </c>
      <c r="C64">
        <v>326</v>
      </c>
      <c r="D64">
        <v>359.41347007561598</v>
      </c>
      <c r="E64">
        <v>12403</v>
      </c>
      <c r="F64">
        <v>0.90703333943330999</v>
      </c>
      <c r="G64">
        <v>2.62839635572039</v>
      </c>
      <c r="H64" t="s">
        <v>67</v>
      </c>
      <c r="I64" t="s">
        <v>84</v>
      </c>
      <c r="J64" t="s">
        <v>85</v>
      </c>
      <c r="K64">
        <v>0</v>
      </c>
      <c r="L64">
        <v>0.96528387905070401</v>
      </c>
    </row>
    <row r="65" spans="1:12">
      <c r="A65" t="str">
        <f t="shared" si="1"/>
        <v>G405H2</v>
      </c>
      <c r="B65">
        <v>2</v>
      </c>
      <c r="C65">
        <v>147</v>
      </c>
      <c r="D65">
        <v>176.84409397516299</v>
      </c>
      <c r="E65">
        <v>6076</v>
      </c>
      <c r="F65">
        <v>0.83124065212291298</v>
      </c>
      <c r="G65">
        <v>2.4193548387096802</v>
      </c>
      <c r="H65" t="s">
        <v>67</v>
      </c>
      <c r="I65" t="s">
        <v>86</v>
      </c>
      <c r="J65" t="s">
        <v>87</v>
      </c>
      <c r="K65">
        <v>0</v>
      </c>
      <c r="L65">
        <v>0.89545680269219396</v>
      </c>
    </row>
    <row r="66" spans="1:12">
      <c r="A66" t="str">
        <f t="shared" si="1"/>
        <v>H103H2</v>
      </c>
      <c r="B66">
        <v>2</v>
      </c>
      <c r="C66">
        <v>26</v>
      </c>
      <c r="D66">
        <v>25.627722749962501</v>
      </c>
      <c r="E66">
        <v>796</v>
      </c>
      <c r="F66">
        <v>1.0145263492066601</v>
      </c>
      <c r="G66">
        <v>3.2663316582914601</v>
      </c>
      <c r="H66" t="s">
        <v>67</v>
      </c>
      <c r="I66" t="s">
        <v>88</v>
      </c>
      <c r="J66" t="s">
        <v>89</v>
      </c>
      <c r="K66">
        <v>0</v>
      </c>
      <c r="L66">
        <v>0.99523299389320197</v>
      </c>
    </row>
    <row r="67" spans="1:12">
      <c r="A67" t="str">
        <f t="shared" si="1"/>
        <v>H202H2</v>
      </c>
      <c r="B67">
        <v>2</v>
      </c>
      <c r="C67">
        <v>138</v>
      </c>
      <c r="D67">
        <v>170.64035714904099</v>
      </c>
      <c r="E67">
        <v>7114</v>
      </c>
      <c r="F67">
        <v>0.80871841987219595</v>
      </c>
      <c r="G67">
        <v>1.93983694124262</v>
      </c>
      <c r="H67" t="s">
        <v>67</v>
      </c>
      <c r="I67" t="s">
        <v>90</v>
      </c>
      <c r="J67" t="s">
        <v>91</v>
      </c>
      <c r="K67">
        <v>0</v>
      </c>
      <c r="L67">
        <v>0.78892054618645102</v>
      </c>
    </row>
    <row r="68" spans="1:12">
      <c r="A68" t="str">
        <f t="shared" si="1"/>
        <v>H212H2</v>
      </c>
      <c r="B68">
        <v>2</v>
      </c>
      <c r="C68">
        <v>21</v>
      </c>
      <c r="D68">
        <v>18.289954890515599</v>
      </c>
      <c r="E68">
        <v>548</v>
      </c>
      <c r="F68">
        <v>1.14817122982024</v>
      </c>
      <c r="G68">
        <v>3.8321167883211702</v>
      </c>
      <c r="H68" t="s">
        <v>67</v>
      </c>
      <c r="I68" t="s">
        <v>92</v>
      </c>
      <c r="J68" t="s">
        <v>93</v>
      </c>
      <c r="K68">
        <v>0</v>
      </c>
      <c r="L68">
        <v>1.09619686599983</v>
      </c>
    </row>
    <row r="69" spans="1:12">
      <c r="A69" t="str">
        <f t="shared" si="1"/>
        <v>L106H2</v>
      </c>
      <c r="B69">
        <v>2</v>
      </c>
      <c r="C69">
        <v>204</v>
      </c>
      <c r="D69">
        <v>213.53669214224601</v>
      </c>
      <c r="E69">
        <v>6937</v>
      </c>
      <c r="F69">
        <v>0.95533932811934197</v>
      </c>
      <c r="G69">
        <v>2.9407524866657102</v>
      </c>
      <c r="H69" t="s">
        <v>67</v>
      </c>
      <c r="I69" t="s">
        <v>94</v>
      </c>
      <c r="J69" t="s">
        <v>95</v>
      </c>
      <c r="K69">
        <v>0</v>
      </c>
      <c r="L69">
        <v>0.95517336539513797</v>
      </c>
    </row>
    <row r="70" spans="1:12">
      <c r="A70" t="str">
        <f t="shared" si="1"/>
        <v>L302H2</v>
      </c>
      <c r="B70">
        <v>2</v>
      </c>
      <c r="C70">
        <v>207</v>
      </c>
      <c r="D70">
        <v>200.94736018815999</v>
      </c>
      <c r="E70">
        <v>6472</v>
      </c>
      <c r="F70">
        <v>1.0301205241321501</v>
      </c>
      <c r="G70">
        <v>3.19839307787392</v>
      </c>
      <c r="H70" t="s">
        <v>67</v>
      </c>
      <c r="I70" t="s">
        <v>96</v>
      </c>
      <c r="J70" t="s">
        <v>97</v>
      </c>
      <c r="K70">
        <v>0</v>
      </c>
      <c r="L70">
        <v>0.93275514338961096</v>
      </c>
    </row>
    <row r="71" spans="1:12">
      <c r="A71" t="str">
        <f t="shared" si="1"/>
        <v>L308H2</v>
      </c>
      <c r="B71">
        <v>2</v>
      </c>
      <c r="C71">
        <v>230</v>
      </c>
      <c r="D71">
        <v>184.53875828340799</v>
      </c>
      <c r="E71">
        <v>8720</v>
      </c>
      <c r="F71">
        <v>1.2463506427564299</v>
      </c>
      <c r="G71">
        <v>2.6376146788990802</v>
      </c>
      <c r="H71" t="s">
        <v>67</v>
      </c>
      <c r="I71" t="s">
        <v>98</v>
      </c>
      <c r="J71" t="s">
        <v>99</v>
      </c>
      <c r="K71">
        <v>0</v>
      </c>
      <c r="L71">
        <v>1.0828731278539101</v>
      </c>
    </row>
    <row r="72" spans="1:12">
      <c r="A72" t="str">
        <f t="shared" si="1"/>
        <v>N101H2</v>
      </c>
      <c r="B72">
        <v>2</v>
      </c>
      <c r="C72">
        <v>294</v>
      </c>
      <c r="D72">
        <v>352.68743441688798</v>
      </c>
      <c r="E72">
        <v>14262</v>
      </c>
      <c r="F72">
        <v>0.83359930439847296</v>
      </c>
      <c r="G72">
        <v>2.06142196045435</v>
      </c>
      <c r="H72" t="s">
        <v>67</v>
      </c>
      <c r="I72" t="s">
        <v>100</v>
      </c>
      <c r="J72" t="s">
        <v>101</v>
      </c>
      <c r="K72">
        <v>0</v>
      </c>
      <c r="L72">
        <v>0.91059845829660402</v>
      </c>
    </row>
    <row r="73" spans="1:12">
      <c r="A73" t="str">
        <f t="shared" si="1"/>
        <v>N411H2</v>
      </c>
      <c r="B73">
        <v>2</v>
      </c>
      <c r="C73">
        <v>93</v>
      </c>
      <c r="D73">
        <v>80.622846947164604</v>
      </c>
      <c r="E73">
        <v>3200</v>
      </c>
      <c r="F73">
        <v>1.1535191762819601</v>
      </c>
      <c r="G73">
        <v>2.90625</v>
      </c>
      <c r="H73" t="s">
        <v>67</v>
      </c>
      <c r="I73" t="s">
        <v>102</v>
      </c>
      <c r="J73" t="s">
        <v>103</v>
      </c>
      <c r="K73">
        <v>0</v>
      </c>
      <c r="L73">
        <v>1.06348529777532</v>
      </c>
    </row>
    <row r="74" spans="1:12">
      <c r="A74" t="str">
        <f t="shared" si="1"/>
        <v>R101H2</v>
      </c>
      <c r="B74">
        <v>2</v>
      </c>
      <c r="C74">
        <v>30</v>
      </c>
      <c r="D74">
        <v>19.806383287780498</v>
      </c>
      <c r="E74">
        <v>777</v>
      </c>
      <c r="F74">
        <v>1.5146632054984199</v>
      </c>
      <c r="G74">
        <v>3.8610038610038599</v>
      </c>
      <c r="H74" t="s">
        <v>67</v>
      </c>
      <c r="I74" t="s">
        <v>104</v>
      </c>
      <c r="J74" t="s">
        <v>105</v>
      </c>
      <c r="K74">
        <v>0</v>
      </c>
      <c r="L74">
        <v>1.23245129966013</v>
      </c>
    </row>
    <row r="75" spans="1:12">
      <c r="A75" t="str">
        <f t="shared" si="1"/>
        <v>S116H2</v>
      </c>
      <c r="B75">
        <v>2</v>
      </c>
      <c r="C75">
        <v>216</v>
      </c>
      <c r="D75">
        <v>296.56778235506999</v>
      </c>
      <c r="E75">
        <v>6461</v>
      </c>
      <c r="F75">
        <v>0.72833265395426805</v>
      </c>
      <c r="G75">
        <v>3.3431357375019299</v>
      </c>
      <c r="H75" t="s">
        <v>67</v>
      </c>
      <c r="I75" t="s">
        <v>106</v>
      </c>
      <c r="J75" t="s">
        <v>107</v>
      </c>
      <c r="K75">
        <v>0</v>
      </c>
      <c r="L75">
        <v>0.76067462023687005</v>
      </c>
    </row>
    <row r="76" spans="1:12">
      <c r="A76" t="str">
        <f t="shared" si="1"/>
        <v>S308H2</v>
      </c>
      <c r="B76">
        <v>2</v>
      </c>
      <c r="C76">
        <v>142</v>
      </c>
      <c r="D76">
        <v>177.30318439550899</v>
      </c>
      <c r="E76">
        <v>6941</v>
      </c>
      <c r="F76">
        <v>0.80088804092340404</v>
      </c>
      <c r="G76">
        <v>2.0458147241031601</v>
      </c>
      <c r="H76" t="s">
        <v>67</v>
      </c>
      <c r="I76" t="s">
        <v>108</v>
      </c>
      <c r="J76" t="s">
        <v>109</v>
      </c>
      <c r="K76">
        <v>0</v>
      </c>
      <c r="L76">
        <v>0.85986192142153395</v>
      </c>
    </row>
    <row r="77" spans="1:12">
      <c r="A77" t="str">
        <f t="shared" si="1"/>
        <v>S314H2</v>
      </c>
      <c r="B77">
        <v>2</v>
      </c>
      <c r="C77">
        <v>367</v>
      </c>
      <c r="D77">
        <v>387.94883949904801</v>
      </c>
      <c r="E77">
        <v>11932</v>
      </c>
      <c r="F77">
        <v>0.94600102548031995</v>
      </c>
      <c r="G77">
        <v>3.0757626550452599</v>
      </c>
      <c r="H77" t="s">
        <v>67</v>
      </c>
      <c r="I77" t="s">
        <v>110</v>
      </c>
      <c r="J77" t="s">
        <v>111</v>
      </c>
      <c r="K77">
        <v>0</v>
      </c>
      <c r="L77">
        <v>0.86089888671765602</v>
      </c>
    </row>
    <row r="78" spans="1:12">
      <c r="A78" t="str">
        <f t="shared" si="1"/>
        <v>T101H2</v>
      </c>
      <c r="B78">
        <v>2</v>
      </c>
      <c r="C78">
        <v>387</v>
      </c>
      <c r="D78">
        <v>379.31960669791499</v>
      </c>
      <c r="E78">
        <v>11485</v>
      </c>
      <c r="F78">
        <v>1.02024781521036</v>
      </c>
      <c r="G78">
        <v>3.3696125380931599</v>
      </c>
      <c r="H78" t="s">
        <v>67</v>
      </c>
      <c r="I78" t="s">
        <v>112</v>
      </c>
      <c r="J78" t="s">
        <v>113</v>
      </c>
      <c r="K78">
        <v>0</v>
      </c>
      <c r="L78">
        <v>0.91691753657432595</v>
      </c>
    </row>
    <row r="79" spans="1:12">
      <c r="A79" t="str">
        <f t="shared" si="1"/>
        <v>T202H2</v>
      </c>
      <c r="B79">
        <v>2</v>
      </c>
      <c r="C79">
        <v>97</v>
      </c>
      <c r="D79">
        <v>122.84668633013101</v>
      </c>
      <c r="E79">
        <v>3161</v>
      </c>
      <c r="F79">
        <v>0.78960208775454899</v>
      </c>
      <c r="G79">
        <v>3.0686491616576999</v>
      </c>
      <c r="H79" t="s">
        <v>67</v>
      </c>
      <c r="I79" t="s">
        <v>114</v>
      </c>
      <c r="J79" t="s">
        <v>115</v>
      </c>
      <c r="K79">
        <v>0</v>
      </c>
      <c r="L79">
        <v>0.89244145807722297</v>
      </c>
    </row>
    <row r="80" spans="1:12">
      <c r="A80" t="str">
        <f t="shared" si="1"/>
        <v>T312H2</v>
      </c>
      <c r="B80">
        <v>2</v>
      </c>
      <c r="C80">
        <v>2</v>
      </c>
      <c r="D80">
        <v>2.0562940206206801</v>
      </c>
      <c r="E80">
        <v>1152</v>
      </c>
      <c r="F80">
        <v>0.97262355477565099</v>
      </c>
      <c r="G80">
        <v>0.17361111111111099</v>
      </c>
      <c r="H80" t="s">
        <v>67</v>
      </c>
      <c r="I80" t="s">
        <v>116</v>
      </c>
      <c r="J80" t="s">
        <v>117</v>
      </c>
      <c r="K80">
        <v>0</v>
      </c>
      <c r="L80">
        <v>0.62819234318905504</v>
      </c>
    </row>
    <row r="81" spans="1:12">
      <c r="A81" t="str">
        <f t="shared" si="1"/>
        <v>V217H2</v>
      </c>
      <c r="B81">
        <v>2</v>
      </c>
      <c r="C81">
        <v>0</v>
      </c>
      <c r="D81">
        <v>1.6767205764751101</v>
      </c>
      <c r="E81">
        <v>1399</v>
      </c>
      <c r="F81">
        <v>0</v>
      </c>
      <c r="G81">
        <v>0</v>
      </c>
      <c r="H81" t="s">
        <v>67</v>
      </c>
      <c r="I81" t="s">
        <v>118</v>
      </c>
      <c r="J81" t="s">
        <v>119</v>
      </c>
      <c r="K81">
        <v>0</v>
      </c>
      <c r="L81">
        <v>0.97329027049884898</v>
      </c>
    </row>
    <row r="82" spans="1:12">
      <c r="A82" t="str">
        <f t="shared" si="1"/>
        <v>W107H2</v>
      </c>
      <c r="B82">
        <v>2</v>
      </c>
      <c r="C82">
        <v>30</v>
      </c>
      <c r="D82">
        <v>16.281025427735901</v>
      </c>
      <c r="E82">
        <v>984</v>
      </c>
      <c r="F82">
        <v>1.84263578072256</v>
      </c>
      <c r="G82">
        <v>3.0487804878048799</v>
      </c>
      <c r="H82" t="s">
        <v>67</v>
      </c>
      <c r="I82" t="s">
        <v>120</v>
      </c>
      <c r="J82" t="s">
        <v>121</v>
      </c>
      <c r="K82">
        <v>0</v>
      </c>
      <c r="L82">
        <v>1.2254367995431901</v>
      </c>
    </row>
    <row r="83" spans="1:12">
      <c r="A83" t="str">
        <f t="shared" si="1"/>
        <v>Z102H2</v>
      </c>
      <c r="B83">
        <v>2</v>
      </c>
      <c r="C83">
        <v>26</v>
      </c>
      <c r="D83">
        <v>21.492041169510799</v>
      </c>
      <c r="E83">
        <v>976</v>
      </c>
      <c r="F83">
        <v>1.20975014866826</v>
      </c>
      <c r="G83">
        <v>2.6639344262295102</v>
      </c>
      <c r="H83" t="s">
        <v>67</v>
      </c>
      <c r="I83" t="s">
        <v>122</v>
      </c>
      <c r="J83" t="s">
        <v>123</v>
      </c>
      <c r="K83">
        <v>0</v>
      </c>
      <c r="L83">
        <v>1.02324738165569</v>
      </c>
    </row>
    <row r="84" spans="1:12">
      <c r="A84" t="str">
        <f t="shared" si="1"/>
        <v>A111H3</v>
      </c>
      <c r="B84">
        <v>3</v>
      </c>
      <c r="C84">
        <v>230</v>
      </c>
      <c r="D84">
        <v>261.44128817084402</v>
      </c>
      <c r="E84">
        <v>10024</v>
      </c>
      <c r="F84">
        <v>0.87973862739576802</v>
      </c>
      <c r="G84">
        <v>2.2944932162809302</v>
      </c>
      <c r="H84" t="s">
        <v>67</v>
      </c>
      <c r="I84" t="s">
        <v>68</v>
      </c>
      <c r="J84" t="s">
        <v>69</v>
      </c>
      <c r="K84">
        <v>0</v>
      </c>
      <c r="L84">
        <v>0.90954680117604003</v>
      </c>
    </row>
    <row r="85" spans="1:12">
      <c r="A85" t="str">
        <f t="shared" si="1"/>
        <v>A210H3</v>
      </c>
      <c r="B85">
        <v>3</v>
      </c>
      <c r="C85">
        <v>195</v>
      </c>
      <c r="D85">
        <v>186.80420942832299</v>
      </c>
      <c r="E85">
        <v>7100</v>
      </c>
      <c r="F85">
        <v>1.0438736931933099</v>
      </c>
      <c r="G85">
        <v>2.7464788732394401</v>
      </c>
      <c r="H85" t="s">
        <v>67</v>
      </c>
      <c r="I85" t="s">
        <v>70</v>
      </c>
      <c r="J85" t="s">
        <v>71</v>
      </c>
      <c r="K85">
        <v>0</v>
      </c>
      <c r="L85">
        <v>0.96821973745572898</v>
      </c>
    </row>
    <row r="86" spans="1:12">
      <c r="A86" t="str">
        <f t="shared" si="1"/>
        <v>B120H3</v>
      </c>
      <c r="B86">
        <v>3</v>
      </c>
      <c r="C86">
        <v>114</v>
      </c>
      <c r="D86">
        <v>126.93969732193599</v>
      </c>
      <c r="E86">
        <v>3970</v>
      </c>
      <c r="F86">
        <v>0.89806421793240099</v>
      </c>
      <c r="G86">
        <v>2.8715365239294699</v>
      </c>
      <c r="H86" t="s">
        <v>67</v>
      </c>
      <c r="I86" t="s">
        <v>72</v>
      </c>
      <c r="J86" t="s">
        <v>73</v>
      </c>
      <c r="K86">
        <v>0</v>
      </c>
      <c r="L86">
        <v>0.93471539957397198</v>
      </c>
    </row>
    <row r="87" spans="1:12">
      <c r="A87" t="str">
        <f t="shared" si="1"/>
        <v>C121H3</v>
      </c>
      <c r="B87">
        <v>3</v>
      </c>
      <c r="C87">
        <v>19</v>
      </c>
      <c r="D87">
        <v>20.217093805733999</v>
      </c>
      <c r="E87">
        <v>773</v>
      </c>
      <c r="F87">
        <v>0.93979877536162904</v>
      </c>
      <c r="G87">
        <v>2.4579560155239299</v>
      </c>
      <c r="H87" t="s">
        <v>67</v>
      </c>
      <c r="I87" t="s">
        <v>74</v>
      </c>
      <c r="J87" t="s">
        <v>75</v>
      </c>
      <c r="K87">
        <v>0</v>
      </c>
      <c r="L87">
        <v>1.0934689257222301</v>
      </c>
    </row>
    <row r="88" spans="1:12">
      <c r="A88" t="str">
        <f t="shared" si="1"/>
        <v>C313H3</v>
      </c>
      <c r="B88">
        <v>3</v>
      </c>
      <c r="C88">
        <v>119</v>
      </c>
      <c r="D88">
        <v>121.454019242299</v>
      </c>
      <c r="E88">
        <v>4520</v>
      </c>
      <c r="F88">
        <v>0.979794664206183</v>
      </c>
      <c r="G88">
        <v>2.6327433628318602</v>
      </c>
      <c r="H88" t="s">
        <v>67</v>
      </c>
      <c r="I88" t="s">
        <v>76</v>
      </c>
      <c r="J88" t="s">
        <v>77</v>
      </c>
      <c r="K88">
        <v>0</v>
      </c>
      <c r="L88">
        <v>1.1238163888074799</v>
      </c>
    </row>
    <row r="89" spans="1:12">
      <c r="A89" t="str">
        <f t="shared" si="1"/>
        <v>C418H3</v>
      </c>
      <c r="B89">
        <v>3</v>
      </c>
      <c r="C89">
        <v>274</v>
      </c>
      <c r="D89">
        <v>255.45164155897299</v>
      </c>
      <c r="E89">
        <v>9656</v>
      </c>
      <c r="F89">
        <v>1.07261005773081</v>
      </c>
      <c r="G89">
        <v>2.83761391880696</v>
      </c>
      <c r="H89" t="s">
        <v>67</v>
      </c>
      <c r="I89" t="s">
        <v>78</v>
      </c>
      <c r="J89" t="s">
        <v>79</v>
      </c>
      <c r="K89">
        <v>0</v>
      </c>
      <c r="L89">
        <v>1.0790052841872</v>
      </c>
    </row>
    <row r="90" spans="1:12">
      <c r="A90" t="str">
        <f t="shared" si="1"/>
        <v>D102H3</v>
      </c>
      <c r="B90">
        <v>3</v>
      </c>
      <c r="C90">
        <v>30</v>
      </c>
      <c r="D90">
        <v>31.899345766207801</v>
      </c>
      <c r="E90">
        <v>3169</v>
      </c>
      <c r="F90">
        <v>0.94045815923222398</v>
      </c>
      <c r="G90">
        <v>0.94667087409277395</v>
      </c>
      <c r="H90" t="s">
        <v>67</v>
      </c>
      <c r="I90" t="s">
        <v>80</v>
      </c>
      <c r="J90" t="s">
        <v>81</v>
      </c>
      <c r="K90">
        <v>0</v>
      </c>
      <c r="L90">
        <v>0.81484672133748004</v>
      </c>
    </row>
    <row r="91" spans="1:12">
      <c r="A91" t="str">
        <f t="shared" si="1"/>
        <v>F704H3</v>
      </c>
      <c r="B91">
        <v>3</v>
      </c>
      <c r="C91">
        <v>140</v>
      </c>
      <c r="D91">
        <v>169.52393558826299</v>
      </c>
      <c r="E91">
        <v>3894</v>
      </c>
      <c r="F91">
        <v>0.825842082501137</v>
      </c>
      <c r="G91">
        <v>3.5952747817154602</v>
      </c>
      <c r="H91" t="s">
        <v>67</v>
      </c>
      <c r="I91" t="s">
        <v>82</v>
      </c>
      <c r="J91" t="s">
        <v>83</v>
      </c>
      <c r="K91">
        <v>0</v>
      </c>
      <c r="L91">
        <v>0.90598389158084702</v>
      </c>
    </row>
    <row r="92" spans="1:12">
      <c r="A92" t="str">
        <f t="shared" si="1"/>
        <v>G107H3</v>
      </c>
      <c r="B92">
        <v>3</v>
      </c>
      <c r="C92">
        <v>319</v>
      </c>
      <c r="D92">
        <v>341.17163184818401</v>
      </c>
      <c r="E92">
        <v>12423</v>
      </c>
      <c r="F92">
        <v>0.93501326083861003</v>
      </c>
      <c r="G92">
        <v>2.5678177573854901</v>
      </c>
      <c r="H92" t="s">
        <v>67</v>
      </c>
      <c r="I92" t="s">
        <v>84</v>
      </c>
      <c r="J92" t="s">
        <v>85</v>
      </c>
      <c r="K92">
        <v>0</v>
      </c>
      <c r="L92">
        <v>0.96528387905070401</v>
      </c>
    </row>
    <row r="93" spans="1:12">
      <c r="A93" t="str">
        <f t="shared" si="1"/>
        <v>G405H3</v>
      </c>
      <c r="B93">
        <v>3</v>
      </c>
      <c r="C93">
        <v>159</v>
      </c>
      <c r="D93">
        <v>188.514358966093</v>
      </c>
      <c r="E93">
        <v>6013</v>
      </c>
      <c r="F93">
        <v>0.84343707753635</v>
      </c>
      <c r="G93">
        <v>2.64427074671545</v>
      </c>
      <c r="H93" t="s">
        <v>67</v>
      </c>
      <c r="I93" t="s">
        <v>86</v>
      </c>
      <c r="J93" t="s">
        <v>87</v>
      </c>
      <c r="K93">
        <v>0</v>
      </c>
      <c r="L93">
        <v>0.89545680269219396</v>
      </c>
    </row>
    <row r="94" spans="1:12">
      <c r="A94" t="str">
        <f t="shared" si="1"/>
        <v>H103H3</v>
      </c>
      <c r="B94">
        <v>3</v>
      </c>
      <c r="C94">
        <v>27</v>
      </c>
      <c r="D94">
        <v>25.064224981836301</v>
      </c>
      <c r="E94">
        <v>765</v>
      </c>
      <c r="F94">
        <v>1.07723259025829</v>
      </c>
      <c r="G94">
        <v>3.52941176470588</v>
      </c>
      <c r="H94" t="s">
        <v>67</v>
      </c>
      <c r="I94" t="s">
        <v>88</v>
      </c>
      <c r="J94" t="s">
        <v>89</v>
      </c>
      <c r="K94">
        <v>0</v>
      </c>
      <c r="L94">
        <v>0.99523299389320197</v>
      </c>
    </row>
    <row r="95" spans="1:12">
      <c r="A95" t="str">
        <f t="shared" si="1"/>
        <v>H202H3</v>
      </c>
      <c r="B95">
        <v>3</v>
      </c>
      <c r="C95">
        <v>165</v>
      </c>
      <c r="D95">
        <v>179.437931194589</v>
      </c>
      <c r="E95">
        <v>7082</v>
      </c>
      <c r="F95">
        <v>0.91953802020302999</v>
      </c>
      <c r="G95">
        <v>2.3298503247670199</v>
      </c>
      <c r="H95" t="s">
        <v>67</v>
      </c>
      <c r="I95" t="s">
        <v>90</v>
      </c>
      <c r="J95" t="s">
        <v>91</v>
      </c>
      <c r="K95">
        <v>0</v>
      </c>
      <c r="L95">
        <v>0.78892054618645102</v>
      </c>
    </row>
    <row r="96" spans="1:12">
      <c r="A96" t="str">
        <f t="shared" si="1"/>
        <v>H212H3</v>
      </c>
      <c r="B96">
        <v>3</v>
      </c>
      <c r="C96">
        <v>18</v>
      </c>
      <c r="D96">
        <v>16.4992176247884</v>
      </c>
      <c r="E96">
        <v>583</v>
      </c>
      <c r="F96">
        <v>1.0909608206486601</v>
      </c>
      <c r="G96">
        <v>3.0874785591766698</v>
      </c>
      <c r="H96" t="s">
        <v>67</v>
      </c>
      <c r="I96" t="s">
        <v>92</v>
      </c>
      <c r="J96" t="s">
        <v>93</v>
      </c>
      <c r="K96">
        <v>0</v>
      </c>
      <c r="L96">
        <v>1.09619686599983</v>
      </c>
    </row>
    <row r="97" spans="1:12">
      <c r="A97" t="str">
        <f t="shared" si="1"/>
        <v>L106H3</v>
      </c>
      <c r="B97">
        <v>3</v>
      </c>
      <c r="C97">
        <v>207</v>
      </c>
      <c r="D97">
        <v>212.45318356121101</v>
      </c>
      <c r="E97">
        <v>7302</v>
      </c>
      <c r="F97">
        <v>0.97433230479391797</v>
      </c>
      <c r="G97">
        <v>2.8348397699260501</v>
      </c>
      <c r="H97" t="s">
        <v>67</v>
      </c>
      <c r="I97" t="s">
        <v>94</v>
      </c>
      <c r="J97" t="s">
        <v>95</v>
      </c>
      <c r="K97">
        <v>0</v>
      </c>
      <c r="L97">
        <v>0.95517336539513797</v>
      </c>
    </row>
    <row r="98" spans="1:12">
      <c r="A98" t="str">
        <f t="shared" si="1"/>
        <v>L302H3</v>
      </c>
      <c r="B98">
        <v>3</v>
      </c>
      <c r="C98">
        <v>201</v>
      </c>
      <c r="D98">
        <v>196.040346198214</v>
      </c>
      <c r="E98">
        <v>6887</v>
      </c>
      <c r="F98">
        <v>1.0252991483537399</v>
      </c>
      <c r="G98">
        <v>2.9185421809205701</v>
      </c>
      <c r="H98" t="s">
        <v>67</v>
      </c>
      <c r="I98" t="s">
        <v>96</v>
      </c>
      <c r="J98" t="s">
        <v>97</v>
      </c>
      <c r="K98">
        <v>0</v>
      </c>
      <c r="L98">
        <v>0.93275514338961096</v>
      </c>
    </row>
    <row r="99" spans="1:12">
      <c r="A99" t="str">
        <f t="shared" si="1"/>
        <v>L308H3</v>
      </c>
      <c r="B99">
        <v>3</v>
      </c>
      <c r="C99">
        <v>251</v>
      </c>
      <c r="D99">
        <v>203.26241302012099</v>
      </c>
      <c r="E99">
        <v>8816</v>
      </c>
      <c r="F99">
        <v>1.2348569333138499</v>
      </c>
      <c r="G99">
        <v>2.84709618874773</v>
      </c>
      <c r="H99" t="s">
        <v>67</v>
      </c>
      <c r="I99" t="s">
        <v>98</v>
      </c>
      <c r="J99" t="s">
        <v>99</v>
      </c>
      <c r="K99">
        <v>0</v>
      </c>
      <c r="L99">
        <v>1.0828731278539101</v>
      </c>
    </row>
    <row r="100" spans="1:12">
      <c r="A100" t="str">
        <f t="shared" si="1"/>
        <v>N101H3</v>
      </c>
      <c r="B100">
        <v>3</v>
      </c>
      <c r="C100">
        <v>313</v>
      </c>
      <c r="D100">
        <v>351.35061988095902</v>
      </c>
      <c r="E100">
        <v>14878</v>
      </c>
      <c r="F100">
        <v>0.890848008482375</v>
      </c>
      <c r="G100">
        <v>2.1037773894340601</v>
      </c>
      <c r="H100" t="s">
        <v>67</v>
      </c>
      <c r="I100" t="s">
        <v>100</v>
      </c>
      <c r="J100" t="s">
        <v>101</v>
      </c>
      <c r="K100">
        <v>0</v>
      </c>
      <c r="L100">
        <v>0.91059845829660402</v>
      </c>
    </row>
    <row r="101" spans="1:12">
      <c r="A101" t="str">
        <f t="shared" si="1"/>
        <v>N411H3</v>
      </c>
      <c r="B101">
        <v>3</v>
      </c>
      <c r="C101">
        <v>81</v>
      </c>
      <c r="D101">
        <v>84.072693313132305</v>
      </c>
      <c r="E101">
        <v>3096</v>
      </c>
      <c r="F101">
        <v>0.96345194626169595</v>
      </c>
      <c r="G101">
        <v>2.6162790697674398</v>
      </c>
      <c r="H101" t="s">
        <v>67</v>
      </c>
      <c r="I101" t="s">
        <v>102</v>
      </c>
      <c r="J101" t="s">
        <v>103</v>
      </c>
      <c r="K101">
        <v>0</v>
      </c>
      <c r="L101">
        <v>1.06348529777532</v>
      </c>
    </row>
    <row r="102" spans="1:12">
      <c r="A102" t="str">
        <f t="shared" si="1"/>
        <v>R101H3</v>
      </c>
      <c r="B102">
        <v>3</v>
      </c>
      <c r="C102">
        <v>27</v>
      </c>
      <c r="D102">
        <v>17.884166516954799</v>
      </c>
      <c r="E102">
        <v>738</v>
      </c>
      <c r="F102">
        <v>1.50971531015454</v>
      </c>
      <c r="G102">
        <v>3.6585365853658498</v>
      </c>
      <c r="H102" t="s">
        <v>67</v>
      </c>
      <c r="I102" t="s">
        <v>104</v>
      </c>
      <c r="J102" t="s">
        <v>105</v>
      </c>
      <c r="K102">
        <v>0</v>
      </c>
      <c r="L102">
        <v>1.23245129966013</v>
      </c>
    </row>
    <row r="103" spans="1:12">
      <c r="A103" t="str">
        <f t="shared" si="1"/>
        <v>S116H3</v>
      </c>
      <c r="B103">
        <v>3</v>
      </c>
      <c r="C103">
        <v>227</v>
      </c>
      <c r="D103">
        <v>279.56611675374103</v>
      </c>
      <c r="E103">
        <v>6223</v>
      </c>
      <c r="F103">
        <v>0.81197250452191005</v>
      </c>
      <c r="G103">
        <v>3.6477583159248002</v>
      </c>
      <c r="H103" t="s">
        <v>67</v>
      </c>
      <c r="I103" t="s">
        <v>106</v>
      </c>
      <c r="J103" t="s">
        <v>107</v>
      </c>
      <c r="K103">
        <v>0</v>
      </c>
      <c r="L103">
        <v>0.76067462023687005</v>
      </c>
    </row>
    <row r="104" spans="1:12">
      <c r="A104" t="str">
        <f t="shared" si="1"/>
        <v>S308H3</v>
      </c>
      <c r="B104">
        <v>3</v>
      </c>
      <c r="C104">
        <v>154</v>
      </c>
      <c r="D104">
        <v>185.162517397073</v>
      </c>
      <c r="E104">
        <v>7206</v>
      </c>
      <c r="F104">
        <v>0.83170180533759797</v>
      </c>
      <c r="G104">
        <v>2.13710796558424</v>
      </c>
      <c r="H104" t="s">
        <v>67</v>
      </c>
      <c r="I104" t="s">
        <v>108</v>
      </c>
      <c r="J104" t="s">
        <v>109</v>
      </c>
      <c r="K104">
        <v>0</v>
      </c>
      <c r="L104">
        <v>0.85986192142153395</v>
      </c>
    </row>
    <row r="105" spans="1:12">
      <c r="A105" t="str">
        <f t="shared" si="1"/>
        <v>S314H3</v>
      </c>
      <c r="B105">
        <v>3</v>
      </c>
      <c r="C105">
        <v>321</v>
      </c>
      <c r="D105">
        <v>378.23341921505602</v>
      </c>
      <c r="E105">
        <v>11730</v>
      </c>
      <c r="F105">
        <v>0.84868227843580901</v>
      </c>
      <c r="G105">
        <v>2.7365728900255801</v>
      </c>
      <c r="H105" t="s">
        <v>67</v>
      </c>
      <c r="I105" t="s">
        <v>110</v>
      </c>
      <c r="J105" t="s">
        <v>111</v>
      </c>
      <c r="K105">
        <v>0</v>
      </c>
      <c r="L105">
        <v>0.86089888671765602</v>
      </c>
    </row>
    <row r="106" spans="1:12">
      <c r="A106" t="str">
        <f t="shared" si="1"/>
        <v>T101H3</v>
      </c>
      <c r="B106">
        <v>3</v>
      </c>
      <c r="C106">
        <v>333</v>
      </c>
      <c r="D106">
        <v>369.81270999864199</v>
      </c>
      <c r="E106">
        <v>11504</v>
      </c>
      <c r="F106">
        <v>0.90045580099511002</v>
      </c>
      <c r="G106">
        <v>2.89464534075104</v>
      </c>
      <c r="H106" t="s">
        <v>67</v>
      </c>
      <c r="I106" t="s">
        <v>112</v>
      </c>
      <c r="J106" t="s">
        <v>113</v>
      </c>
      <c r="K106">
        <v>0</v>
      </c>
      <c r="L106">
        <v>0.91691753657432595</v>
      </c>
    </row>
    <row r="107" spans="1:12">
      <c r="A107" t="str">
        <f t="shared" si="1"/>
        <v>T202H3</v>
      </c>
      <c r="B107">
        <v>3</v>
      </c>
      <c r="C107">
        <v>74</v>
      </c>
      <c r="D107">
        <v>114.270555961638</v>
      </c>
      <c r="E107">
        <v>3164</v>
      </c>
      <c r="F107">
        <v>0.64758589277225997</v>
      </c>
      <c r="G107">
        <v>2.3388116308470299</v>
      </c>
      <c r="H107" t="s">
        <v>67</v>
      </c>
      <c r="I107" t="s">
        <v>114</v>
      </c>
      <c r="J107" t="s">
        <v>115</v>
      </c>
      <c r="K107">
        <v>0</v>
      </c>
      <c r="L107">
        <v>0.89244145807722297</v>
      </c>
    </row>
    <row r="108" spans="1:12">
      <c r="A108" t="str">
        <f t="shared" si="1"/>
        <v>T312H3</v>
      </c>
      <c r="B108">
        <v>3</v>
      </c>
      <c r="C108">
        <v>2</v>
      </c>
      <c r="D108">
        <v>2.4148072514719701</v>
      </c>
      <c r="E108">
        <v>1088</v>
      </c>
      <c r="F108">
        <v>0.828223452940552</v>
      </c>
      <c r="G108">
        <v>0.183823529411765</v>
      </c>
      <c r="H108" t="s">
        <v>67</v>
      </c>
      <c r="I108" t="s">
        <v>116</v>
      </c>
      <c r="J108" t="s">
        <v>117</v>
      </c>
      <c r="K108">
        <v>0</v>
      </c>
      <c r="L108">
        <v>0.62819234318905504</v>
      </c>
    </row>
    <row r="109" spans="1:12">
      <c r="A109" t="str">
        <f t="shared" si="1"/>
        <v>V217H3</v>
      </c>
      <c r="B109">
        <v>3</v>
      </c>
      <c r="C109">
        <v>254</v>
      </c>
      <c r="D109">
        <v>216.846568434739</v>
      </c>
      <c r="E109">
        <v>6665</v>
      </c>
      <c r="F109">
        <v>1.1713351141936199</v>
      </c>
      <c r="G109">
        <v>3.8109527381845498</v>
      </c>
      <c r="H109" t="s">
        <v>67</v>
      </c>
      <c r="I109" t="s">
        <v>118</v>
      </c>
      <c r="J109" t="s">
        <v>119</v>
      </c>
      <c r="K109">
        <v>0</v>
      </c>
      <c r="L109">
        <v>0.97329027049884898</v>
      </c>
    </row>
    <row r="110" spans="1:12">
      <c r="A110" t="str">
        <f t="shared" si="1"/>
        <v>W107H3</v>
      </c>
      <c r="B110">
        <v>3</v>
      </c>
      <c r="C110">
        <v>20</v>
      </c>
      <c r="D110">
        <v>20.909937982491101</v>
      </c>
      <c r="E110">
        <v>939</v>
      </c>
      <c r="F110">
        <v>0.95648298989442004</v>
      </c>
      <c r="G110">
        <v>2.12992545260916</v>
      </c>
      <c r="H110" t="s">
        <v>67</v>
      </c>
      <c r="I110" t="s">
        <v>120</v>
      </c>
      <c r="J110" t="s">
        <v>121</v>
      </c>
      <c r="K110">
        <v>0</v>
      </c>
      <c r="L110">
        <v>1.2254367995431901</v>
      </c>
    </row>
    <row r="111" spans="1:12">
      <c r="A111" t="str">
        <f t="shared" si="1"/>
        <v>Z102H3</v>
      </c>
      <c r="B111">
        <v>3</v>
      </c>
      <c r="C111">
        <v>24</v>
      </c>
      <c r="D111">
        <v>20.760542309506899</v>
      </c>
      <c r="E111">
        <v>860</v>
      </c>
      <c r="F111">
        <v>1.1560391651719799</v>
      </c>
      <c r="G111">
        <v>2.7906976744185998</v>
      </c>
      <c r="H111" t="s">
        <v>67</v>
      </c>
      <c r="I111" t="s">
        <v>122</v>
      </c>
      <c r="J111" t="s">
        <v>123</v>
      </c>
      <c r="K111">
        <v>0</v>
      </c>
      <c r="L111">
        <v>1.02324738165569</v>
      </c>
    </row>
    <row r="112" spans="1:12">
      <c r="A112" t="str">
        <f t="shared" si="1"/>
        <v>A111H4</v>
      </c>
      <c r="B112">
        <v>4</v>
      </c>
      <c r="C112">
        <v>233</v>
      </c>
      <c r="D112">
        <v>277.22452366961102</v>
      </c>
      <c r="E112">
        <v>10039</v>
      </c>
      <c r="F112">
        <v>0.84047398446496402</v>
      </c>
      <c r="G112">
        <v>2.3209483016236701</v>
      </c>
      <c r="H112" t="s">
        <v>67</v>
      </c>
      <c r="I112" t="s">
        <v>68</v>
      </c>
      <c r="J112" t="s">
        <v>69</v>
      </c>
      <c r="K112">
        <v>0</v>
      </c>
      <c r="L112">
        <v>0.90954680117604003</v>
      </c>
    </row>
    <row r="113" spans="1:12">
      <c r="A113" t="str">
        <f t="shared" si="1"/>
        <v>A210H4</v>
      </c>
      <c r="B113">
        <v>4</v>
      </c>
      <c r="C113">
        <v>196</v>
      </c>
      <c r="D113">
        <v>189.29008780729501</v>
      </c>
      <c r="E113">
        <v>7077</v>
      </c>
      <c r="F113">
        <v>1.0354477736812899</v>
      </c>
      <c r="G113">
        <v>2.76953511374876</v>
      </c>
      <c r="H113" t="s">
        <v>67</v>
      </c>
      <c r="I113" t="s">
        <v>70</v>
      </c>
      <c r="J113" t="s">
        <v>71</v>
      </c>
      <c r="K113">
        <v>0</v>
      </c>
      <c r="L113">
        <v>0.96821973745572898</v>
      </c>
    </row>
    <row r="114" spans="1:12">
      <c r="A114" t="str">
        <f t="shared" si="1"/>
        <v>B120H4</v>
      </c>
      <c r="B114">
        <v>4</v>
      </c>
      <c r="C114">
        <v>116</v>
      </c>
      <c r="D114">
        <v>136.36418822393</v>
      </c>
      <c r="E114">
        <v>4215</v>
      </c>
      <c r="F114">
        <v>0.85066322405344996</v>
      </c>
      <c r="G114">
        <v>2.7520759193357098</v>
      </c>
      <c r="H114" t="s">
        <v>67</v>
      </c>
      <c r="I114" t="s">
        <v>72</v>
      </c>
      <c r="J114" t="s">
        <v>73</v>
      </c>
      <c r="K114">
        <v>0</v>
      </c>
      <c r="L114">
        <v>0.93471539957397198</v>
      </c>
    </row>
    <row r="115" spans="1:12">
      <c r="A115" t="str">
        <f t="shared" si="1"/>
        <v>C121H4</v>
      </c>
      <c r="B115">
        <v>4</v>
      </c>
      <c r="C115">
        <v>14</v>
      </c>
      <c r="D115">
        <v>19.146338644306301</v>
      </c>
      <c r="E115">
        <v>819</v>
      </c>
      <c r="F115">
        <v>0.73121029874624699</v>
      </c>
      <c r="G115">
        <v>1.70940170940171</v>
      </c>
      <c r="H115" t="s">
        <v>67</v>
      </c>
      <c r="I115" t="s">
        <v>74</v>
      </c>
      <c r="J115" t="s">
        <v>75</v>
      </c>
      <c r="K115">
        <v>0</v>
      </c>
      <c r="L115">
        <v>1.0934689257222301</v>
      </c>
    </row>
    <row r="116" spans="1:12">
      <c r="A116" t="str">
        <f t="shared" si="1"/>
        <v>C313H4</v>
      </c>
      <c r="B116">
        <v>4</v>
      </c>
      <c r="C116">
        <v>134</v>
      </c>
      <c r="D116">
        <v>128.13690596997299</v>
      </c>
      <c r="E116">
        <v>4606</v>
      </c>
      <c r="F116">
        <v>1.04575648198811</v>
      </c>
      <c r="G116">
        <v>2.9092488059053401</v>
      </c>
      <c r="H116" t="s">
        <v>67</v>
      </c>
      <c r="I116" t="s">
        <v>76</v>
      </c>
      <c r="J116" t="s">
        <v>77</v>
      </c>
      <c r="K116">
        <v>0</v>
      </c>
      <c r="L116">
        <v>1.1238163888074799</v>
      </c>
    </row>
    <row r="117" spans="1:12">
      <c r="A117" t="str">
        <f t="shared" si="1"/>
        <v>C418H4</v>
      </c>
      <c r="B117">
        <v>4</v>
      </c>
      <c r="C117">
        <v>284</v>
      </c>
      <c r="D117">
        <v>265.24761723365998</v>
      </c>
      <c r="E117">
        <v>9979</v>
      </c>
      <c r="F117">
        <v>1.0706976483405</v>
      </c>
      <c r="G117">
        <v>2.84597655075659</v>
      </c>
      <c r="H117" t="s">
        <v>67</v>
      </c>
      <c r="I117" t="s">
        <v>78</v>
      </c>
      <c r="J117" t="s">
        <v>79</v>
      </c>
      <c r="K117">
        <v>0</v>
      </c>
      <c r="L117">
        <v>1.0790052841872</v>
      </c>
    </row>
    <row r="118" spans="1:12">
      <c r="A118" t="str">
        <f t="shared" si="1"/>
        <v>D102H4</v>
      </c>
      <c r="B118">
        <v>4</v>
      </c>
      <c r="C118">
        <v>35</v>
      </c>
      <c r="D118">
        <v>33.3728243152622</v>
      </c>
      <c r="E118">
        <v>3163</v>
      </c>
      <c r="F118">
        <v>1.04875750608838</v>
      </c>
      <c r="G118">
        <v>1.10654441985457</v>
      </c>
      <c r="H118" t="s">
        <v>67</v>
      </c>
      <c r="I118" t="s">
        <v>80</v>
      </c>
      <c r="J118" t="s">
        <v>81</v>
      </c>
      <c r="K118">
        <v>0</v>
      </c>
      <c r="L118">
        <v>0.81484672133748004</v>
      </c>
    </row>
    <row r="119" spans="1:12">
      <c r="A119" t="str">
        <f t="shared" si="1"/>
        <v>F704H4</v>
      </c>
      <c r="B119">
        <v>4</v>
      </c>
      <c r="C119">
        <v>144</v>
      </c>
      <c r="D119">
        <v>173.543387745735</v>
      </c>
      <c r="E119">
        <v>3678</v>
      </c>
      <c r="F119">
        <v>0.82976367967980402</v>
      </c>
      <c r="G119">
        <v>3.9151712887438799</v>
      </c>
      <c r="H119" t="s">
        <v>67</v>
      </c>
      <c r="I119" t="s">
        <v>82</v>
      </c>
      <c r="J119" t="s">
        <v>83</v>
      </c>
      <c r="K119">
        <v>0</v>
      </c>
      <c r="L119">
        <v>0.90598389158084702</v>
      </c>
    </row>
    <row r="120" spans="1:12">
      <c r="A120" t="str">
        <f t="shared" si="1"/>
        <v>G107H4</v>
      </c>
      <c r="B120">
        <v>4</v>
      </c>
      <c r="C120">
        <v>357</v>
      </c>
      <c r="D120">
        <v>349.19644358177698</v>
      </c>
      <c r="E120">
        <v>12715</v>
      </c>
      <c r="F120">
        <v>1.0223471818274601</v>
      </c>
      <c r="G120">
        <v>2.8077074321667301</v>
      </c>
      <c r="H120" t="s">
        <v>67</v>
      </c>
      <c r="I120" t="s">
        <v>84</v>
      </c>
      <c r="J120" t="s">
        <v>85</v>
      </c>
      <c r="K120">
        <v>0</v>
      </c>
      <c r="L120">
        <v>0.96528387905070401</v>
      </c>
    </row>
    <row r="121" spans="1:12">
      <c r="A121" t="str">
        <f t="shared" si="1"/>
        <v>G405H4</v>
      </c>
      <c r="B121">
        <v>4</v>
      </c>
      <c r="C121">
        <v>164</v>
      </c>
      <c r="D121">
        <v>204.35385672571999</v>
      </c>
      <c r="E121">
        <v>5998</v>
      </c>
      <c r="F121">
        <v>0.80252950753025298</v>
      </c>
      <c r="G121">
        <v>2.7342447482494201</v>
      </c>
      <c r="H121" t="s">
        <v>67</v>
      </c>
      <c r="I121" t="s">
        <v>86</v>
      </c>
      <c r="J121" t="s">
        <v>87</v>
      </c>
      <c r="K121">
        <v>0</v>
      </c>
      <c r="L121">
        <v>0.89545680269219396</v>
      </c>
    </row>
    <row r="122" spans="1:12">
      <c r="A122" t="str">
        <f t="shared" si="1"/>
        <v>H103H4</v>
      </c>
      <c r="B122">
        <v>4</v>
      </c>
      <c r="C122">
        <v>29</v>
      </c>
      <c r="D122">
        <v>31.54964928363</v>
      </c>
      <c r="E122">
        <v>814</v>
      </c>
      <c r="F122">
        <v>0.91918612911640496</v>
      </c>
      <c r="G122">
        <v>3.5626535626535598</v>
      </c>
      <c r="H122" t="s">
        <v>67</v>
      </c>
      <c r="I122" t="s">
        <v>88</v>
      </c>
      <c r="J122" t="s">
        <v>89</v>
      </c>
      <c r="K122">
        <v>0</v>
      </c>
      <c r="L122">
        <v>0.99523299389320197</v>
      </c>
    </row>
    <row r="123" spans="1:12">
      <c r="A123" t="str">
        <f t="shared" si="1"/>
        <v>H202H4</v>
      </c>
      <c r="B123">
        <v>4</v>
      </c>
      <c r="C123">
        <v>163</v>
      </c>
      <c r="D123">
        <v>193.47494314978599</v>
      </c>
      <c r="E123">
        <v>7214</v>
      </c>
      <c r="F123">
        <v>0.84248635687054996</v>
      </c>
      <c r="G123">
        <v>2.2594954255614099</v>
      </c>
      <c r="H123" t="s">
        <v>67</v>
      </c>
      <c r="I123" t="s">
        <v>90</v>
      </c>
      <c r="J123" t="s">
        <v>91</v>
      </c>
      <c r="K123">
        <v>0</v>
      </c>
      <c r="L123">
        <v>0.78892054618645102</v>
      </c>
    </row>
    <row r="124" spans="1:12">
      <c r="A124" t="str">
        <f t="shared" si="1"/>
        <v>H212H4</v>
      </c>
      <c r="B124">
        <v>4</v>
      </c>
      <c r="C124">
        <v>14</v>
      </c>
      <c r="D124">
        <v>15.901425309100899</v>
      </c>
      <c r="E124">
        <v>507</v>
      </c>
      <c r="F124">
        <v>0.88042422159398404</v>
      </c>
      <c r="G124">
        <v>2.7613412228796799</v>
      </c>
      <c r="H124" t="s">
        <v>67</v>
      </c>
      <c r="I124" t="s">
        <v>92</v>
      </c>
      <c r="J124" t="s">
        <v>93</v>
      </c>
      <c r="K124">
        <v>0</v>
      </c>
      <c r="L124">
        <v>1.09619686599983</v>
      </c>
    </row>
    <row r="125" spans="1:12">
      <c r="A125" t="str">
        <f t="shared" si="1"/>
        <v>L106H4</v>
      </c>
      <c r="B125">
        <v>4</v>
      </c>
      <c r="C125">
        <v>251</v>
      </c>
      <c r="D125">
        <v>218.328805904425</v>
      </c>
      <c r="E125">
        <v>7226</v>
      </c>
      <c r="F125">
        <v>1.1496421599533599</v>
      </c>
      <c r="G125">
        <v>3.4735676722944899</v>
      </c>
      <c r="H125" t="s">
        <v>67</v>
      </c>
      <c r="I125" t="s">
        <v>94</v>
      </c>
      <c r="J125" t="s">
        <v>95</v>
      </c>
      <c r="K125">
        <v>0</v>
      </c>
      <c r="L125">
        <v>0.95517336539513797</v>
      </c>
    </row>
    <row r="126" spans="1:12">
      <c r="A126" t="str">
        <f t="shared" si="1"/>
        <v>L302H4</v>
      </c>
      <c r="B126">
        <v>4</v>
      </c>
      <c r="C126">
        <v>214</v>
      </c>
      <c r="D126">
        <v>199.78169355652901</v>
      </c>
      <c r="E126">
        <v>7017</v>
      </c>
      <c r="F126">
        <v>1.0711692157091901</v>
      </c>
      <c r="G126">
        <v>3.04973635456748</v>
      </c>
      <c r="H126" t="s">
        <v>67</v>
      </c>
      <c r="I126" t="s">
        <v>96</v>
      </c>
      <c r="J126" t="s">
        <v>97</v>
      </c>
      <c r="K126">
        <v>0</v>
      </c>
      <c r="L126">
        <v>0.93275514338961096</v>
      </c>
    </row>
    <row r="127" spans="1:12">
      <c r="A127" t="str">
        <f t="shared" si="1"/>
        <v>L308H4</v>
      </c>
      <c r="B127">
        <v>4</v>
      </c>
      <c r="C127">
        <v>259</v>
      </c>
      <c r="D127">
        <v>223.780662117666</v>
      </c>
      <c r="E127">
        <v>9286</v>
      </c>
      <c r="F127">
        <v>1.1573832946468601</v>
      </c>
      <c r="G127">
        <v>2.78914494938617</v>
      </c>
      <c r="H127" t="s">
        <v>67</v>
      </c>
      <c r="I127" t="s">
        <v>98</v>
      </c>
      <c r="J127" t="s">
        <v>99</v>
      </c>
      <c r="K127">
        <v>0</v>
      </c>
      <c r="L127">
        <v>1.0828731278539101</v>
      </c>
    </row>
    <row r="128" spans="1:12">
      <c r="A128" t="str">
        <f t="shared" ref="A128:A191" si="2">CONCATENATE(I128, B128)</f>
        <v>N101H4</v>
      </c>
      <c r="B128">
        <v>4</v>
      </c>
      <c r="C128">
        <v>380</v>
      </c>
      <c r="D128">
        <v>413.20841184168103</v>
      </c>
      <c r="E128">
        <v>14660</v>
      </c>
      <c r="F128">
        <v>0.91963277878669003</v>
      </c>
      <c r="G128">
        <v>2.5920873124147299</v>
      </c>
      <c r="H128" t="s">
        <v>67</v>
      </c>
      <c r="I128" t="s">
        <v>100</v>
      </c>
      <c r="J128" t="s">
        <v>101</v>
      </c>
      <c r="K128">
        <v>0</v>
      </c>
      <c r="L128">
        <v>0.91059845829660402</v>
      </c>
    </row>
    <row r="129" spans="1:12">
      <c r="A129" t="str">
        <f t="shared" si="2"/>
        <v>N411H4</v>
      </c>
      <c r="B129">
        <v>4</v>
      </c>
      <c r="C129">
        <v>111</v>
      </c>
      <c r="D129">
        <v>91.993789848282205</v>
      </c>
      <c r="E129">
        <v>3133</v>
      </c>
      <c r="F129">
        <v>1.2066031868353599</v>
      </c>
      <c r="G129">
        <v>3.5429300989466999</v>
      </c>
      <c r="H129" t="s">
        <v>67</v>
      </c>
      <c r="I129" t="s">
        <v>102</v>
      </c>
      <c r="J129" t="s">
        <v>103</v>
      </c>
      <c r="K129">
        <v>0</v>
      </c>
      <c r="L129">
        <v>1.06348529777532</v>
      </c>
    </row>
    <row r="130" spans="1:12">
      <c r="A130" t="str">
        <f t="shared" si="2"/>
        <v>R101H4</v>
      </c>
      <c r="B130">
        <v>4</v>
      </c>
      <c r="C130">
        <v>24</v>
      </c>
      <c r="D130">
        <v>21.092574248466502</v>
      </c>
      <c r="E130">
        <v>780</v>
      </c>
      <c r="F130">
        <v>1.13784120028615</v>
      </c>
      <c r="G130">
        <v>3.0769230769230802</v>
      </c>
      <c r="H130" t="s">
        <v>67</v>
      </c>
      <c r="I130" t="s">
        <v>104</v>
      </c>
      <c r="J130" t="s">
        <v>105</v>
      </c>
      <c r="K130">
        <v>0</v>
      </c>
      <c r="L130">
        <v>1.23245129966013</v>
      </c>
    </row>
    <row r="131" spans="1:12">
      <c r="A131" t="str">
        <f t="shared" si="2"/>
        <v>S116H4</v>
      </c>
      <c r="B131">
        <v>4</v>
      </c>
      <c r="C131">
        <v>237</v>
      </c>
      <c r="D131">
        <v>294.137303122106</v>
      </c>
      <c r="E131">
        <v>6448</v>
      </c>
      <c r="F131">
        <v>0.80574615148903395</v>
      </c>
      <c r="G131">
        <v>3.6755583126550899</v>
      </c>
      <c r="H131" t="s">
        <v>67</v>
      </c>
      <c r="I131" t="s">
        <v>106</v>
      </c>
      <c r="J131" t="s">
        <v>107</v>
      </c>
      <c r="K131">
        <v>0</v>
      </c>
      <c r="L131">
        <v>0.76067462023687005</v>
      </c>
    </row>
    <row r="132" spans="1:12">
      <c r="A132" t="str">
        <f t="shared" si="2"/>
        <v>S308H4</v>
      </c>
      <c r="B132">
        <v>4</v>
      </c>
      <c r="C132">
        <v>186</v>
      </c>
      <c r="D132">
        <v>207.78268785003999</v>
      </c>
      <c r="E132">
        <v>7450</v>
      </c>
      <c r="F132">
        <v>0.89516601178168798</v>
      </c>
      <c r="G132">
        <v>2.4966442953020098</v>
      </c>
      <c r="H132" t="s">
        <v>67</v>
      </c>
      <c r="I132" t="s">
        <v>108</v>
      </c>
      <c r="J132" t="s">
        <v>109</v>
      </c>
      <c r="K132">
        <v>0</v>
      </c>
      <c r="L132">
        <v>0.85986192142153395</v>
      </c>
    </row>
    <row r="133" spans="1:12">
      <c r="A133" t="str">
        <f t="shared" si="2"/>
        <v>S314H4</v>
      </c>
      <c r="B133">
        <v>4</v>
      </c>
      <c r="C133">
        <v>385</v>
      </c>
      <c r="D133">
        <v>412.76261396634499</v>
      </c>
      <c r="E133">
        <v>11768</v>
      </c>
      <c r="F133">
        <v>0.93273951412516198</v>
      </c>
      <c r="G133">
        <v>3.2715839564921798</v>
      </c>
      <c r="H133" t="s">
        <v>67</v>
      </c>
      <c r="I133" t="s">
        <v>110</v>
      </c>
      <c r="J133" t="s">
        <v>111</v>
      </c>
      <c r="K133">
        <v>0</v>
      </c>
      <c r="L133">
        <v>0.86089888671765602</v>
      </c>
    </row>
    <row r="134" spans="1:12">
      <c r="A134" t="str">
        <f t="shared" si="2"/>
        <v>T101H4</v>
      </c>
      <c r="B134">
        <v>4</v>
      </c>
      <c r="C134">
        <v>407</v>
      </c>
      <c r="D134">
        <v>398.000975629565</v>
      </c>
      <c r="E134">
        <v>11691</v>
      </c>
      <c r="F134">
        <v>1.02261055857011</v>
      </c>
      <c r="G134">
        <v>3.4813104097168801</v>
      </c>
      <c r="H134" t="s">
        <v>67</v>
      </c>
      <c r="I134" t="s">
        <v>112</v>
      </c>
      <c r="J134" t="s">
        <v>113</v>
      </c>
      <c r="K134">
        <v>0</v>
      </c>
      <c r="L134">
        <v>0.91691753657432595</v>
      </c>
    </row>
    <row r="135" spans="1:12">
      <c r="A135" t="str">
        <f t="shared" si="2"/>
        <v>T202H4</v>
      </c>
      <c r="B135">
        <v>4</v>
      </c>
      <c r="C135">
        <v>120</v>
      </c>
      <c r="D135">
        <v>135.62213241608401</v>
      </c>
      <c r="E135">
        <v>3395</v>
      </c>
      <c r="F135">
        <v>0.884811334715225</v>
      </c>
      <c r="G135">
        <v>3.5346097201767299</v>
      </c>
      <c r="H135" t="s">
        <v>67</v>
      </c>
      <c r="I135" t="s">
        <v>114</v>
      </c>
      <c r="J135" t="s">
        <v>115</v>
      </c>
      <c r="K135">
        <v>0</v>
      </c>
      <c r="L135">
        <v>0.89244145807722297</v>
      </c>
    </row>
    <row r="136" spans="1:12">
      <c r="A136" t="str">
        <f t="shared" si="2"/>
        <v>T312H4</v>
      </c>
      <c r="B136">
        <v>4</v>
      </c>
      <c r="C136">
        <v>1</v>
      </c>
      <c r="D136">
        <v>1.6023754316747201</v>
      </c>
      <c r="E136">
        <v>1150</v>
      </c>
      <c r="F136">
        <v>0.62407347256619605</v>
      </c>
      <c r="G136">
        <v>8.6956521739130405E-2</v>
      </c>
      <c r="H136" t="s">
        <v>67</v>
      </c>
      <c r="I136" t="s">
        <v>116</v>
      </c>
      <c r="J136" t="s">
        <v>117</v>
      </c>
      <c r="K136">
        <v>0</v>
      </c>
      <c r="L136">
        <v>0.62819234318905504</v>
      </c>
    </row>
    <row r="137" spans="1:12">
      <c r="A137" t="str">
        <f t="shared" si="2"/>
        <v>V217H4</v>
      </c>
      <c r="B137">
        <v>4</v>
      </c>
      <c r="C137">
        <v>274</v>
      </c>
      <c r="D137">
        <v>268.63531692720102</v>
      </c>
      <c r="E137">
        <v>7604</v>
      </c>
      <c r="F137">
        <v>1.01997013324295</v>
      </c>
      <c r="G137">
        <v>3.60336664913204</v>
      </c>
      <c r="H137" t="s">
        <v>67</v>
      </c>
      <c r="I137" t="s">
        <v>118</v>
      </c>
      <c r="J137" t="s">
        <v>119</v>
      </c>
      <c r="K137">
        <v>0</v>
      </c>
      <c r="L137">
        <v>0.97329027049884898</v>
      </c>
    </row>
    <row r="138" spans="1:12">
      <c r="A138" t="str">
        <f t="shared" si="2"/>
        <v>W107H4</v>
      </c>
      <c r="B138">
        <v>4</v>
      </c>
      <c r="C138">
        <v>35</v>
      </c>
      <c r="D138">
        <v>21.490513272214201</v>
      </c>
      <c r="E138">
        <v>912</v>
      </c>
      <c r="F138">
        <v>1.6286255966372201</v>
      </c>
      <c r="G138">
        <v>3.8377192982456099</v>
      </c>
      <c r="H138" t="s">
        <v>67</v>
      </c>
      <c r="I138" t="s">
        <v>120</v>
      </c>
      <c r="J138" t="s">
        <v>121</v>
      </c>
      <c r="K138">
        <v>0</v>
      </c>
      <c r="L138">
        <v>1.2254367995431901</v>
      </c>
    </row>
    <row r="139" spans="1:12">
      <c r="A139" t="str">
        <f t="shared" si="2"/>
        <v>Z102H4</v>
      </c>
      <c r="B139">
        <v>4</v>
      </c>
      <c r="C139">
        <v>26</v>
      </c>
      <c r="D139">
        <v>20.318168137139601</v>
      </c>
      <c r="E139">
        <v>900</v>
      </c>
      <c r="F139">
        <v>1.27964291980017</v>
      </c>
      <c r="G139">
        <v>2.8888888888888902</v>
      </c>
      <c r="H139" t="s">
        <v>67</v>
      </c>
      <c r="I139" t="s">
        <v>122</v>
      </c>
      <c r="J139" t="s">
        <v>123</v>
      </c>
      <c r="K139">
        <v>0</v>
      </c>
      <c r="L139">
        <v>1.02324738165569</v>
      </c>
    </row>
    <row r="140" spans="1:12">
      <c r="A140" t="str">
        <f t="shared" si="2"/>
        <v>A111H5</v>
      </c>
      <c r="B140">
        <v>5</v>
      </c>
      <c r="C140">
        <v>250</v>
      </c>
      <c r="D140">
        <v>284.97937520545901</v>
      </c>
      <c r="E140">
        <v>9465</v>
      </c>
      <c r="F140">
        <v>0.877256467489128</v>
      </c>
      <c r="G140">
        <v>2.6413100898045401</v>
      </c>
      <c r="H140" t="s">
        <v>67</v>
      </c>
      <c r="I140" t="s">
        <v>68</v>
      </c>
      <c r="J140" t="s">
        <v>69</v>
      </c>
      <c r="K140">
        <v>0</v>
      </c>
      <c r="L140">
        <v>0.90954680117604003</v>
      </c>
    </row>
    <row r="141" spans="1:12">
      <c r="A141" t="str">
        <f t="shared" si="2"/>
        <v>A210H5</v>
      </c>
      <c r="B141">
        <v>5</v>
      </c>
      <c r="C141">
        <v>220</v>
      </c>
      <c r="D141">
        <v>219.07384678559501</v>
      </c>
      <c r="E141">
        <v>7033</v>
      </c>
      <c r="F141">
        <v>1.0042275845702</v>
      </c>
      <c r="G141">
        <v>3.1281103369827998</v>
      </c>
      <c r="H141" t="s">
        <v>67</v>
      </c>
      <c r="I141" t="s">
        <v>70</v>
      </c>
      <c r="J141" t="s">
        <v>71</v>
      </c>
      <c r="K141">
        <v>0</v>
      </c>
      <c r="L141">
        <v>0.96821973745572898</v>
      </c>
    </row>
    <row r="142" spans="1:12">
      <c r="A142" t="str">
        <f t="shared" si="2"/>
        <v>B120H5</v>
      </c>
      <c r="B142">
        <v>5</v>
      </c>
      <c r="C142">
        <v>125</v>
      </c>
      <c r="D142">
        <v>143.806363965337</v>
      </c>
      <c r="E142">
        <v>4509</v>
      </c>
      <c r="F142">
        <v>0.86922439698238796</v>
      </c>
      <c r="G142">
        <v>2.7722333111554698</v>
      </c>
      <c r="H142" t="s">
        <v>67</v>
      </c>
      <c r="I142" t="s">
        <v>72</v>
      </c>
      <c r="J142" t="s">
        <v>73</v>
      </c>
      <c r="K142">
        <v>0</v>
      </c>
      <c r="L142">
        <v>0.93471539957397198</v>
      </c>
    </row>
    <row r="143" spans="1:12">
      <c r="A143" t="str">
        <f t="shared" si="2"/>
        <v>C121H5</v>
      </c>
      <c r="B143">
        <v>5</v>
      </c>
      <c r="C143">
        <v>19</v>
      </c>
      <c r="D143">
        <v>23.459599600159301</v>
      </c>
      <c r="E143">
        <v>865</v>
      </c>
      <c r="F143">
        <v>0.809902995951857</v>
      </c>
      <c r="G143">
        <v>2.19653179190751</v>
      </c>
      <c r="H143" t="s">
        <v>67</v>
      </c>
      <c r="I143" t="s">
        <v>74</v>
      </c>
      <c r="J143" t="s">
        <v>75</v>
      </c>
      <c r="K143">
        <v>0</v>
      </c>
      <c r="L143">
        <v>1.0934689257222301</v>
      </c>
    </row>
    <row r="144" spans="1:12">
      <c r="A144" t="str">
        <f t="shared" si="2"/>
        <v>C313H5</v>
      </c>
      <c r="B144">
        <v>5</v>
      </c>
      <c r="C144">
        <v>150</v>
      </c>
      <c r="D144">
        <v>122.986872466615</v>
      </c>
      <c r="E144">
        <v>5003</v>
      </c>
      <c r="F144">
        <v>1.21964236500703</v>
      </c>
      <c r="G144">
        <v>2.9982010793523899</v>
      </c>
      <c r="H144" t="s">
        <v>67</v>
      </c>
      <c r="I144" t="s">
        <v>76</v>
      </c>
      <c r="J144" t="s">
        <v>77</v>
      </c>
      <c r="K144">
        <v>0</v>
      </c>
      <c r="L144">
        <v>1.1238163888074799</v>
      </c>
    </row>
    <row r="145" spans="1:12">
      <c r="A145" t="str">
        <f t="shared" si="2"/>
        <v>C418H5</v>
      </c>
      <c r="B145">
        <v>5</v>
      </c>
      <c r="C145">
        <v>299</v>
      </c>
      <c r="D145">
        <v>275.01733642094598</v>
      </c>
      <c r="E145">
        <v>10408</v>
      </c>
      <c r="F145">
        <v>1.0872041882565</v>
      </c>
      <c r="G145">
        <v>2.8727901614142999</v>
      </c>
      <c r="H145" t="s">
        <v>67</v>
      </c>
      <c r="I145" t="s">
        <v>78</v>
      </c>
      <c r="J145" t="s">
        <v>79</v>
      </c>
      <c r="K145">
        <v>0</v>
      </c>
      <c r="L145">
        <v>1.0790052841872</v>
      </c>
    </row>
    <row r="146" spans="1:12">
      <c r="A146" t="str">
        <f t="shared" si="2"/>
        <v>D102H5</v>
      </c>
      <c r="B146">
        <v>5</v>
      </c>
      <c r="C146">
        <v>28</v>
      </c>
      <c r="D146">
        <v>32.987907795267603</v>
      </c>
      <c r="E146">
        <v>3338</v>
      </c>
      <c r="F146">
        <v>0.84879587313557603</v>
      </c>
      <c r="G146">
        <v>0.83882564409826199</v>
      </c>
      <c r="H146" t="s">
        <v>67</v>
      </c>
      <c r="I146" t="s">
        <v>80</v>
      </c>
      <c r="J146" t="s">
        <v>81</v>
      </c>
      <c r="K146">
        <v>0</v>
      </c>
      <c r="L146">
        <v>0.81484672133748004</v>
      </c>
    </row>
    <row r="147" spans="1:12">
      <c r="A147" t="str">
        <f t="shared" si="2"/>
        <v>F704H5</v>
      </c>
      <c r="B147">
        <v>5</v>
      </c>
      <c r="C147">
        <v>341</v>
      </c>
      <c r="D147">
        <v>327.629125638684</v>
      </c>
      <c r="E147">
        <v>7083</v>
      </c>
      <c r="F147">
        <v>1.0408110064550899</v>
      </c>
      <c r="G147">
        <v>4.8143442044331497</v>
      </c>
      <c r="H147" t="s">
        <v>67</v>
      </c>
      <c r="I147" t="s">
        <v>82</v>
      </c>
      <c r="J147" t="s">
        <v>83</v>
      </c>
      <c r="K147">
        <v>0</v>
      </c>
      <c r="L147">
        <v>0.90598389158084702</v>
      </c>
    </row>
    <row r="148" spans="1:12">
      <c r="A148" t="str">
        <f t="shared" si="2"/>
        <v>G107H5</v>
      </c>
      <c r="B148">
        <v>5</v>
      </c>
      <c r="C148">
        <v>341</v>
      </c>
      <c r="D148">
        <v>364.30661469333501</v>
      </c>
      <c r="E148">
        <v>12778</v>
      </c>
      <c r="F148">
        <v>0.93602472820057303</v>
      </c>
      <c r="G148">
        <v>2.66864924088277</v>
      </c>
      <c r="H148" t="s">
        <v>67</v>
      </c>
      <c r="I148" t="s">
        <v>84</v>
      </c>
      <c r="J148" t="s">
        <v>85</v>
      </c>
      <c r="K148">
        <v>0</v>
      </c>
      <c r="L148">
        <v>0.96528387905070401</v>
      </c>
    </row>
    <row r="149" spans="1:12">
      <c r="A149" t="str">
        <f t="shared" si="2"/>
        <v>G405H5</v>
      </c>
      <c r="B149">
        <v>5</v>
      </c>
      <c r="C149">
        <v>184</v>
      </c>
      <c r="D149">
        <v>201.97338437576701</v>
      </c>
      <c r="E149">
        <v>6222</v>
      </c>
      <c r="F149">
        <v>0.91101112440474696</v>
      </c>
      <c r="G149">
        <v>2.9572484731597601</v>
      </c>
      <c r="H149" t="s">
        <v>67</v>
      </c>
      <c r="I149" t="s">
        <v>86</v>
      </c>
      <c r="J149" t="s">
        <v>87</v>
      </c>
      <c r="K149">
        <v>0</v>
      </c>
      <c r="L149">
        <v>0.89545680269219396</v>
      </c>
    </row>
    <row r="150" spans="1:12">
      <c r="A150" t="str">
        <f t="shared" si="2"/>
        <v>H103H5</v>
      </c>
      <c r="B150">
        <v>5</v>
      </c>
      <c r="C150">
        <v>32</v>
      </c>
      <c r="D150">
        <v>29.912277924596701</v>
      </c>
      <c r="E150">
        <v>818</v>
      </c>
      <c r="F150">
        <v>1.06979482073101</v>
      </c>
      <c r="G150">
        <v>3.9119804400978002</v>
      </c>
      <c r="H150" t="s">
        <v>67</v>
      </c>
      <c r="I150" t="s">
        <v>88</v>
      </c>
      <c r="J150" t="s">
        <v>89</v>
      </c>
      <c r="K150">
        <v>0</v>
      </c>
      <c r="L150">
        <v>0.99523299389320197</v>
      </c>
    </row>
    <row r="151" spans="1:12">
      <c r="A151" t="str">
        <f t="shared" si="2"/>
        <v>H202H5</v>
      </c>
      <c r="B151">
        <v>5</v>
      </c>
      <c r="C151">
        <v>131</v>
      </c>
      <c r="D151">
        <v>190.08318457699301</v>
      </c>
      <c r="E151">
        <v>7334</v>
      </c>
      <c r="F151">
        <v>0.68917195538113696</v>
      </c>
      <c r="G151">
        <v>1.7862012544314201</v>
      </c>
      <c r="H151" t="s">
        <v>67</v>
      </c>
      <c r="I151" t="s">
        <v>90</v>
      </c>
      <c r="J151" t="s">
        <v>91</v>
      </c>
      <c r="K151">
        <v>0</v>
      </c>
      <c r="L151">
        <v>0.78892054618645102</v>
      </c>
    </row>
    <row r="152" spans="1:12">
      <c r="A152" t="str">
        <f t="shared" si="2"/>
        <v>H212H5</v>
      </c>
      <c r="B152">
        <v>5</v>
      </c>
      <c r="C152">
        <v>22</v>
      </c>
      <c r="D152">
        <v>15.053163364043799</v>
      </c>
      <c r="E152">
        <v>510</v>
      </c>
      <c r="F152">
        <v>1.46148682957561</v>
      </c>
      <c r="G152">
        <v>4.31372549019608</v>
      </c>
      <c r="H152" t="s">
        <v>67</v>
      </c>
      <c r="I152" t="s">
        <v>92</v>
      </c>
      <c r="J152" t="s">
        <v>93</v>
      </c>
      <c r="K152">
        <v>0</v>
      </c>
      <c r="L152">
        <v>1.09619686599983</v>
      </c>
    </row>
    <row r="153" spans="1:12">
      <c r="A153" t="str">
        <f t="shared" si="2"/>
        <v>L106H5</v>
      </c>
      <c r="B153">
        <v>5</v>
      </c>
      <c r="C153">
        <v>234</v>
      </c>
      <c r="D153">
        <v>247.72809114560201</v>
      </c>
      <c r="E153">
        <v>8333</v>
      </c>
      <c r="F153">
        <v>0.94458403533439705</v>
      </c>
      <c r="G153">
        <v>2.80811232449298</v>
      </c>
      <c r="H153" t="s">
        <v>67</v>
      </c>
      <c r="I153" t="s">
        <v>94</v>
      </c>
      <c r="J153" t="s">
        <v>95</v>
      </c>
      <c r="K153">
        <v>0</v>
      </c>
      <c r="L153">
        <v>0.95517336539513797</v>
      </c>
    </row>
    <row r="154" spans="1:12">
      <c r="A154" t="str">
        <f t="shared" si="2"/>
        <v>L302H5</v>
      </c>
      <c r="B154">
        <v>5</v>
      </c>
      <c r="C154">
        <v>222</v>
      </c>
      <c r="D154">
        <v>234.392419627604</v>
      </c>
      <c r="E154">
        <v>7128</v>
      </c>
      <c r="F154">
        <v>0.94712960578122296</v>
      </c>
      <c r="G154">
        <v>3.1144781144781102</v>
      </c>
      <c r="H154" t="s">
        <v>67</v>
      </c>
      <c r="I154" t="s">
        <v>96</v>
      </c>
      <c r="J154" t="s">
        <v>97</v>
      </c>
      <c r="K154">
        <v>0</v>
      </c>
      <c r="L154">
        <v>0.93275514338961096</v>
      </c>
    </row>
    <row r="155" spans="1:12">
      <c r="A155" t="str">
        <f t="shared" si="2"/>
        <v>L308H5</v>
      </c>
      <c r="B155">
        <v>5</v>
      </c>
      <c r="C155">
        <v>227</v>
      </c>
      <c r="D155">
        <v>220.885730811412</v>
      </c>
      <c r="E155">
        <v>10016</v>
      </c>
      <c r="F155">
        <v>1.02768068886174</v>
      </c>
      <c r="G155">
        <v>2.2663738019169299</v>
      </c>
      <c r="H155" t="s">
        <v>67</v>
      </c>
      <c r="I155" t="s">
        <v>98</v>
      </c>
      <c r="J155" t="s">
        <v>99</v>
      </c>
      <c r="K155">
        <v>0</v>
      </c>
      <c r="L155">
        <v>1.0828731278539101</v>
      </c>
    </row>
    <row r="156" spans="1:12">
      <c r="A156" t="str">
        <f t="shared" si="2"/>
        <v>N101H5</v>
      </c>
      <c r="B156">
        <v>5</v>
      </c>
      <c r="C156">
        <v>369</v>
      </c>
      <c r="D156">
        <v>415.19528987001399</v>
      </c>
      <c r="E156">
        <v>15450</v>
      </c>
      <c r="F156">
        <v>0.88873840576448604</v>
      </c>
      <c r="G156">
        <v>2.3883495145631102</v>
      </c>
      <c r="H156" t="s">
        <v>67</v>
      </c>
      <c r="I156" t="s">
        <v>100</v>
      </c>
      <c r="J156" t="s">
        <v>101</v>
      </c>
      <c r="K156">
        <v>0</v>
      </c>
      <c r="L156">
        <v>0.91059845829660402</v>
      </c>
    </row>
    <row r="157" spans="1:12">
      <c r="A157" t="str">
        <f t="shared" si="2"/>
        <v>N411H5</v>
      </c>
      <c r="B157">
        <v>5</v>
      </c>
      <c r="C157">
        <v>90</v>
      </c>
      <c r="D157">
        <v>94.9886894907753</v>
      </c>
      <c r="E157">
        <v>3339</v>
      </c>
      <c r="F157">
        <v>0.94748122626473597</v>
      </c>
      <c r="G157">
        <v>2.6954177897574101</v>
      </c>
      <c r="H157" t="s">
        <v>67</v>
      </c>
      <c r="I157" t="s">
        <v>102</v>
      </c>
      <c r="J157" t="s">
        <v>103</v>
      </c>
      <c r="K157">
        <v>0</v>
      </c>
      <c r="L157">
        <v>1.06348529777532</v>
      </c>
    </row>
    <row r="158" spans="1:12">
      <c r="A158" t="str">
        <f t="shared" si="2"/>
        <v>R101H5</v>
      </c>
      <c r="B158">
        <v>5</v>
      </c>
      <c r="C158">
        <v>23</v>
      </c>
      <c r="D158">
        <v>15.8975432439484</v>
      </c>
      <c r="E158">
        <v>775</v>
      </c>
      <c r="F158">
        <v>1.4467644243556399</v>
      </c>
      <c r="G158">
        <v>2.9677419354838701</v>
      </c>
      <c r="H158" t="s">
        <v>67</v>
      </c>
      <c r="I158" t="s">
        <v>104</v>
      </c>
      <c r="J158" t="s">
        <v>105</v>
      </c>
      <c r="K158">
        <v>0</v>
      </c>
      <c r="L158">
        <v>1.23245129966013</v>
      </c>
    </row>
    <row r="159" spans="1:12">
      <c r="A159" t="str">
        <f t="shared" si="2"/>
        <v>S116H5</v>
      </c>
      <c r="B159">
        <v>5</v>
      </c>
      <c r="C159">
        <v>250</v>
      </c>
      <c r="D159">
        <v>302.68027182932099</v>
      </c>
      <c r="E159">
        <v>6768</v>
      </c>
      <c r="F159">
        <v>0.82595406198449905</v>
      </c>
      <c r="G159">
        <v>3.6938534278959798</v>
      </c>
      <c r="H159" t="s">
        <v>67</v>
      </c>
      <c r="I159" t="s">
        <v>106</v>
      </c>
      <c r="J159" t="s">
        <v>107</v>
      </c>
      <c r="K159">
        <v>0</v>
      </c>
      <c r="L159">
        <v>0.76067462023687005</v>
      </c>
    </row>
    <row r="160" spans="1:12">
      <c r="A160" t="str">
        <f t="shared" si="2"/>
        <v>S308H5</v>
      </c>
      <c r="B160">
        <v>5</v>
      </c>
      <c r="C160">
        <v>158</v>
      </c>
      <c r="D160">
        <v>191.48886346286699</v>
      </c>
      <c r="E160">
        <v>7533</v>
      </c>
      <c r="F160">
        <v>0.82511325798661295</v>
      </c>
      <c r="G160">
        <v>2.0974379397318499</v>
      </c>
      <c r="H160" t="s">
        <v>67</v>
      </c>
      <c r="I160" t="s">
        <v>108</v>
      </c>
      <c r="J160" t="s">
        <v>109</v>
      </c>
      <c r="K160">
        <v>0</v>
      </c>
      <c r="L160">
        <v>0.85986192142153395</v>
      </c>
    </row>
    <row r="161" spans="1:12">
      <c r="A161" t="str">
        <f t="shared" si="2"/>
        <v>S314H5</v>
      </c>
      <c r="B161">
        <v>5</v>
      </c>
      <c r="C161">
        <v>367</v>
      </c>
      <c r="D161">
        <v>426.87705307039897</v>
      </c>
      <c r="E161">
        <v>12200</v>
      </c>
      <c r="F161">
        <v>0.85973232189521198</v>
      </c>
      <c r="G161">
        <v>3.0081967213114802</v>
      </c>
      <c r="H161" t="s">
        <v>67</v>
      </c>
      <c r="I161" t="s">
        <v>110</v>
      </c>
      <c r="J161" t="s">
        <v>111</v>
      </c>
      <c r="K161">
        <v>0</v>
      </c>
      <c r="L161">
        <v>0.86089888671765602</v>
      </c>
    </row>
    <row r="162" spans="1:12">
      <c r="A162" t="str">
        <f t="shared" si="2"/>
        <v>T101H5</v>
      </c>
      <c r="B162">
        <v>5</v>
      </c>
      <c r="C162">
        <v>406</v>
      </c>
      <c r="D162">
        <v>411.90673308463499</v>
      </c>
      <c r="E162">
        <v>11899</v>
      </c>
      <c r="F162">
        <v>0.98566002298529698</v>
      </c>
      <c r="G162">
        <v>3.4120514328935201</v>
      </c>
      <c r="H162" t="s">
        <v>67</v>
      </c>
      <c r="I162" t="s">
        <v>112</v>
      </c>
      <c r="J162" t="s">
        <v>113</v>
      </c>
      <c r="K162">
        <v>0</v>
      </c>
      <c r="L162">
        <v>0.91691753657432595</v>
      </c>
    </row>
    <row r="163" spans="1:12">
      <c r="A163" t="str">
        <f t="shared" si="2"/>
        <v>T202H5</v>
      </c>
      <c r="B163">
        <v>5</v>
      </c>
      <c r="C163">
        <v>138</v>
      </c>
      <c r="D163">
        <v>149.87872089015099</v>
      </c>
      <c r="E163">
        <v>3464</v>
      </c>
      <c r="F163">
        <v>0.92074444711296299</v>
      </c>
      <c r="G163">
        <v>3.9838337182447998</v>
      </c>
      <c r="H163" t="s">
        <v>67</v>
      </c>
      <c r="I163" t="s">
        <v>114</v>
      </c>
      <c r="J163" t="s">
        <v>115</v>
      </c>
      <c r="K163">
        <v>0</v>
      </c>
      <c r="L163">
        <v>0.89244145807722297</v>
      </c>
    </row>
    <row r="164" spans="1:12">
      <c r="A164" t="str">
        <f t="shared" si="2"/>
        <v>T312H5</v>
      </c>
      <c r="B164">
        <v>5</v>
      </c>
      <c r="C164">
        <v>1</v>
      </c>
      <c r="D164">
        <v>1.83392676010056</v>
      </c>
      <c r="E164">
        <v>1341</v>
      </c>
      <c r="F164">
        <v>0.54527804586109496</v>
      </c>
      <c r="G164">
        <v>7.4571215510812805E-2</v>
      </c>
      <c r="H164" t="s">
        <v>67</v>
      </c>
      <c r="I164" t="s">
        <v>116</v>
      </c>
      <c r="J164" t="s">
        <v>117</v>
      </c>
      <c r="K164">
        <v>0</v>
      </c>
      <c r="L164">
        <v>0.62819234318905504</v>
      </c>
    </row>
    <row r="165" spans="1:12">
      <c r="A165" t="str">
        <f t="shared" si="2"/>
        <v>V217H5</v>
      </c>
      <c r="B165">
        <v>5</v>
      </c>
      <c r="C165">
        <v>320</v>
      </c>
      <c r="D165">
        <v>290.90233232320702</v>
      </c>
      <c r="E165">
        <v>8031</v>
      </c>
      <c r="F165">
        <v>1.1000255564966199</v>
      </c>
      <c r="G165">
        <v>3.98455983065621</v>
      </c>
      <c r="H165" t="s">
        <v>67</v>
      </c>
      <c r="I165" t="s">
        <v>118</v>
      </c>
      <c r="J165" t="s">
        <v>119</v>
      </c>
      <c r="K165">
        <v>0</v>
      </c>
      <c r="L165">
        <v>0.97329027049884898</v>
      </c>
    </row>
    <row r="166" spans="1:12">
      <c r="A166" t="str">
        <f t="shared" si="2"/>
        <v>W107H5</v>
      </c>
      <c r="B166">
        <v>5</v>
      </c>
      <c r="C166">
        <v>32</v>
      </c>
      <c r="D166">
        <v>23.549921952604201</v>
      </c>
      <c r="E166">
        <v>936</v>
      </c>
      <c r="F166">
        <v>1.35881554360996</v>
      </c>
      <c r="G166">
        <v>3.41880341880342</v>
      </c>
      <c r="H166" t="s">
        <v>67</v>
      </c>
      <c r="I166" t="s">
        <v>120</v>
      </c>
      <c r="J166" t="s">
        <v>121</v>
      </c>
      <c r="K166">
        <v>0</v>
      </c>
      <c r="L166">
        <v>1.2254367995431901</v>
      </c>
    </row>
    <row r="167" spans="1:12">
      <c r="A167" t="str">
        <f t="shared" si="2"/>
        <v>Z102H5</v>
      </c>
      <c r="B167">
        <v>5</v>
      </c>
      <c r="C167">
        <v>23</v>
      </c>
      <c r="D167">
        <v>24.486423026647699</v>
      </c>
      <c r="E167">
        <v>942</v>
      </c>
      <c r="F167">
        <v>0.93929603253892802</v>
      </c>
      <c r="G167">
        <v>2.4416135881104002</v>
      </c>
      <c r="H167" t="s">
        <v>67</v>
      </c>
      <c r="I167" t="s">
        <v>122</v>
      </c>
      <c r="J167" t="s">
        <v>123</v>
      </c>
      <c r="K167">
        <v>0</v>
      </c>
      <c r="L167">
        <v>1.02324738165569</v>
      </c>
    </row>
    <row r="168" spans="1:12">
      <c r="A168" t="str">
        <f t="shared" si="2"/>
        <v>A111H6</v>
      </c>
      <c r="B168">
        <v>6</v>
      </c>
      <c r="C168">
        <v>256</v>
      </c>
      <c r="D168">
        <v>288.259801934412</v>
      </c>
      <c r="E168">
        <v>9402</v>
      </c>
      <c r="F168">
        <v>0.88808775376265603</v>
      </c>
      <c r="G168">
        <v>2.7228249308657699</v>
      </c>
      <c r="H168" t="s">
        <v>67</v>
      </c>
      <c r="I168" t="s">
        <v>68</v>
      </c>
      <c r="J168" t="s">
        <v>69</v>
      </c>
      <c r="K168">
        <v>0</v>
      </c>
      <c r="L168">
        <v>0.90954680117604003</v>
      </c>
    </row>
    <row r="169" spans="1:12">
      <c r="A169" t="str">
        <f t="shared" si="2"/>
        <v>A210H6</v>
      </c>
      <c r="B169">
        <v>6</v>
      </c>
      <c r="C169">
        <v>200</v>
      </c>
      <c r="D169">
        <v>223.34028188176899</v>
      </c>
      <c r="E169">
        <v>6857</v>
      </c>
      <c r="F169">
        <v>0.89549452662495899</v>
      </c>
      <c r="G169">
        <v>2.9167274318215002</v>
      </c>
      <c r="H169" t="s">
        <v>67</v>
      </c>
      <c r="I169" t="s">
        <v>70</v>
      </c>
      <c r="J169" t="s">
        <v>71</v>
      </c>
      <c r="K169">
        <v>0</v>
      </c>
      <c r="L169">
        <v>0.96821973745572898</v>
      </c>
    </row>
    <row r="170" spans="1:12">
      <c r="A170" t="str">
        <f t="shared" si="2"/>
        <v>B120H6</v>
      </c>
      <c r="B170">
        <v>6</v>
      </c>
      <c r="C170">
        <v>142</v>
      </c>
      <c r="D170">
        <v>133.86957713967499</v>
      </c>
      <c r="E170">
        <v>4252</v>
      </c>
      <c r="F170">
        <v>1.06073391007907</v>
      </c>
      <c r="G170">
        <v>3.33960489181562</v>
      </c>
      <c r="H170" t="s">
        <v>67</v>
      </c>
      <c r="I170" t="s">
        <v>72</v>
      </c>
      <c r="J170" t="s">
        <v>73</v>
      </c>
      <c r="K170">
        <v>0</v>
      </c>
      <c r="L170">
        <v>0.93471539957397198</v>
      </c>
    </row>
    <row r="171" spans="1:12">
      <c r="A171" t="str">
        <f t="shared" si="2"/>
        <v>C121H6</v>
      </c>
      <c r="B171">
        <v>6</v>
      </c>
      <c r="C171">
        <v>19</v>
      </c>
      <c r="D171">
        <v>19.6765014126822</v>
      </c>
      <c r="E171">
        <v>805</v>
      </c>
      <c r="F171">
        <v>0.96561881614552902</v>
      </c>
      <c r="G171">
        <v>2.3602484472049698</v>
      </c>
      <c r="H171" t="s">
        <v>67</v>
      </c>
      <c r="I171" t="s">
        <v>74</v>
      </c>
      <c r="J171" t="s">
        <v>75</v>
      </c>
      <c r="K171">
        <v>0</v>
      </c>
      <c r="L171">
        <v>1.0934689257222301</v>
      </c>
    </row>
    <row r="172" spans="1:12">
      <c r="A172" t="str">
        <f t="shared" si="2"/>
        <v>C313H6</v>
      </c>
      <c r="B172">
        <v>6</v>
      </c>
      <c r="C172">
        <v>135</v>
      </c>
      <c r="D172">
        <v>118.488687878804</v>
      </c>
      <c r="E172">
        <v>4800</v>
      </c>
      <c r="F172">
        <v>1.13934926967952</v>
      </c>
      <c r="G172">
        <v>2.8125</v>
      </c>
      <c r="H172" t="s">
        <v>67</v>
      </c>
      <c r="I172" t="s">
        <v>76</v>
      </c>
      <c r="J172" t="s">
        <v>77</v>
      </c>
      <c r="K172">
        <v>0</v>
      </c>
      <c r="L172">
        <v>1.1238163888074799</v>
      </c>
    </row>
    <row r="173" spans="1:12">
      <c r="A173" t="str">
        <f t="shared" si="2"/>
        <v>C418H6</v>
      </c>
      <c r="B173">
        <v>6</v>
      </c>
      <c r="C173">
        <v>299</v>
      </c>
      <c r="D173">
        <v>272.56927870168499</v>
      </c>
      <c r="E173">
        <v>9776</v>
      </c>
      <c r="F173">
        <v>1.09696881990594</v>
      </c>
      <c r="G173">
        <v>3.0585106382978702</v>
      </c>
      <c r="H173" t="s">
        <v>67</v>
      </c>
      <c r="I173" t="s">
        <v>78</v>
      </c>
      <c r="J173" t="s">
        <v>79</v>
      </c>
      <c r="K173">
        <v>0</v>
      </c>
      <c r="L173">
        <v>1.0790052841872</v>
      </c>
    </row>
    <row r="174" spans="1:12">
      <c r="A174" t="str">
        <f t="shared" si="2"/>
        <v>D102H6</v>
      </c>
      <c r="B174">
        <v>6</v>
      </c>
      <c r="C174">
        <v>32</v>
      </c>
      <c r="D174">
        <v>34.095839642063197</v>
      </c>
      <c r="E174">
        <v>3222</v>
      </c>
      <c r="F174">
        <v>0.93853092740741295</v>
      </c>
      <c r="G174">
        <v>0.99317194289261301</v>
      </c>
      <c r="H174" t="s">
        <v>67</v>
      </c>
      <c r="I174" t="s">
        <v>80</v>
      </c>
      <c r="J174" t="s">
        <v>81</v>
      </c>
      <c r="K174">
        <v>0</v>
      </c>
      <c r="L174">
        <v>0.81484672133748004</v>
      </c>
    </row>
    <row r="175" spans="1:12">
      <c r="A175" t="str">
        <f t="shared" si="2"/>
        <v>F704H6</v>
      </c>
      <c r="B175">
        <v>6</v>
      </c>
      <c r="C175">
        <v>335</v>
      </c>
      <c r="D175">
        <v>364.12181438244801</v>
      </c>
      <c r="E175">
        <v>7718</v>
      </c>
      <c r="F175">
        <v>0.920021780535619</v>
      </c>
      <c r="G175">
        <v>4.3405027209121503</v>
      </c>
      <c r="H175" t="s">
        <v>67</v>
      </c>
      <c r="I175" t="s">
        <v>82</v>
      </c>
      <c r="J175" t="s">
        <v>83</v>
      </c>
      <c r="K175">
        <v>0</v>
      </c>
      <c r="L175">
        <v>0.90598389158084702</v>
      </c>
    </row>
    <row r="176" spans="1:12">
      <c r="A176" t="str">
        <f t="shared" si="2"/>
        <v>G107H6</v>
      </c>
      <c r="B176">
        <v>6</v>
      </c>
      <c r="C176">
        <v>318</v>
      </c>
      <c r="D176">
        <v>343.060318286057</v>
      </c>
      <c r="E176">
        <v>12246</v>
      </c>
      <c r="F176">
        <v>0.92695069365276805</v>
      </c>
      <c r="G176">
        <v>2.5967662910338101</v>
      </c>
      <c r="H176" t="s">
        <v>67</v>
      </c>
      <c r="I176" t="s">
        <v>84</v>
      </c>
      <c r="J176" t="s">
        <v>85</v>
      </c>
      <c r="K176">
        <v>0</v>
      </c>
      <c r="L176">
        <v>0.96528387905070401</v>
      </c>
    </row>
    <row r="177" spans="1:12">
      <c r="A177" t="str">
        <f t="shared" si="2"/>
        <v>G405H6</v>
      </c>
      <c r="B177">
        <v>6</v>
      </c>
      <c r="C177">
        <v>153</v>
      </c>
      <c r="D177">
        <v>199.209820748857</v>
      </c>
      <c r="E177">
        <v>5986</v>
      </c>
      <c r="F177">
        <v>0.76803442433135105</v>
      </c>
      <c r="G177">
        <v>2.5559639158035399</v>
      </c>
      <c r="H177" t="s">
        <v>67</v>
      </c>
      <c r="I177" t="s">
        <v>86</v>
      </c>
      <c r="J177" t="s">
        <v>87</v>
      </c>
      <c r="K177">
        <v>0</v>
      </c>
      <c r="L177">
        <v>0.89545680269219396</v>
      </c>
    </row>
    <row r="178" spans="1:12">
      <c r="A178" t="str">
        <f t="shared" si="2"/>
        <v>H103H6</v>
      </c>
      <c r="B178">
        <v>6</v>
      </c>
      <c r="C178">
        <v>28</v>
      </c>
      <c r="D178">
        <v>30.065055079344699</v>
      </c>
      <c r="E178">
        <v>804</v>
      </c>
      <c r="F178">
        <v>0.93131377694486905</v>
      </c>
      <c r="G178">
        <v>3.4825870646766202</v>
      </c>
      <c r="H178" t="s">
        <v>67</v>
      </c>
      <c r="I178" t="s">
        <v>88</v>
      </c>
      <c r="J178" t="s">
        <v>89</v>
      </c>
      <c r="K178">
        <v>0</v>
      </c>
      <c r="L178">
        <v>0.99523299389320197</v>
      </c>
    </row>
    <row r="179" spans="1:12">
      <c r="A179" t="str">
        <f t="shared" si="2"/>
        <v>H202H6</v>
      </c>
      <c r="B179">
        <v>6</v>
      </c>
      <c r="C179">
        <v>129</v>
      </c>
      <c r="D179">
        <v>186.286475458974</v>
      </c>
      <c r="E179">
        <v>7300</v>
      </c>
      <c r="F179">
        <v>0.69248183305937006</v>
      </c>
      <c r="G179">
        <v>1.7671232876712299</v>
      </c>
      <c r="H179" t="s">
        <v>67</v>
      </c>
      <c r="I179" t="s">
        <v>90</v>
      </c>
      <c r="J179" t="s">
        <v>91</v>
      </c>
      <c r="K179">
        <v>0</v>
      </c>
      <c r="L179">
        <v>0.78892054618645102</v>
      </c>
    </row>
    <row r="180" spans="1:12">
      <c r="A180" t="str">
        <f t="shared" si="2"/>
        <v>H212H6</v>
      </c>
      <c r="B180">
        <v>6</v>
      </c>
      <c r="C180">
        <v>10</v>
      </c>
      <c r="D180">
        <v>13.0963849949562</v>
      </c>
      <c r="E180">
        <v>472</v>
      </c>
      <c r="F180">
        <v>0.76356948912629896</v>
      </c>
      <c r="G180">
        <v>2.1186440677966099</v>
      </c>
      <c r="H180" t="s">
        <v>67</v>
      </c>
      <c r="I180" t="s">
        <v>92</v>
      </c>
      <c r="J180" t="s">
        <v>93</v>
      </c>
      <c r="K180">
        <v>0</v>
      </c>
      <c r="L180">
        <v>1.09619686599983</v>
      </c>
    </row>
    <row r="181" spans="1:12">
      <c r="A181" t="str">
        <f t="shared" si="2"/>
        <v>L106H6</v>
      </c>
      <c r="B181">
        <v>6</v>
      </c>
      <c r="C181">
        <v>261</v>
      </c>
      <c r="D181">
        <v>253.75454803320201</v>
      </c>
      <c r="E181">
        <v>8041</v>
      </c>
      <c r="F181">
        <v>1.0285529935244699</v>
      </c>
      <c r="G181">
        <v>3.2458649421713699</v>
      </c>
      <c r="H181" t="s">
        <v>67</v>
      </c>
      <c r="I181" t="s">
        <v>94</v>
      </c>
      <c r="J181" t="s">
        <v>95</v>
      </c>
      <c r="K181">
        <v>0</v>
      </c>
      <c r="L181">
        <v>0.95517336539513797</v>
      </c>
    </row>
    <row r="182" spans="1:12">
      <c r="A182" t="str">
        <f t="shared" si="2"/>
        <v>L302H6</v>
      </c>
      <c r="B182">
        <v>6</v>
      </c>
      <c r="C182">
        <v>220</v>
      </c>
      <c r="D182">
        <v>217.198702318454</v>
      </c>
      <c r="E182">
        <v>6721</v>
      </c>
      <c r="F182">
        <v>1.0128973960325001</v>
      </c>
      <c r="G182">
        <v>3.2733224222585902</v>
      </c>
      <c r="H182" t="s">
        <v>67</v>
      </c>
      <c r="I182" t="s">
        <v>96</v>
      </c>
      <c r="J182" t="s">
        <v>97</v>
      </c>
      <c r="K182">
        <v>0</v>
      </c>
      <c r="L182">
        <v>0.93275514338961096</v>
      </c>
    </row>
    <row r="183" spans="1:12">
      <c r="A183" t="str">
        <f t="shared" si="2"/>
        <v>L308H6</v>
      </c>
      <c r="B183">
        <v>6</v>
      </c>
      <c r="C183">
        <v>243</v>
      </c>
      <c r="D183">
        <v>219.56789260645701</v>
      </c>
      <c r="E183">
        <v>9667</v>
      </c>
      <c r="F183">
        <v>1.1067191888366901</v>
      </c>
      <c r="G183">
        <v>2.5137064239164202</v>
      </c>
      <c r="H183" t="s">
        <v>67</v>
      </c>
      <c r="I183" t="s">
        <v>98</v>
      </c>
      <c r="J183" t="s">
        <v>99</v>
      </c>
      <c r="K183">
        <v>0</v>
      </c>
      <c r="L183">
        <v>1.0828731278539101</v>
      </c>
    </row>
    <row r="184" spans="1:12">
      <c r="A184" t="str">
        <f t="shared" si="2"/>
        <v>N101H6</v>
      </c>
      <c r="B184">
        <v>6</v>
      </c>
      <c r="C184">
        <v>341</v>
      </c>
      <c r="D184">
        <v>400.284928876918</v>
      </c>
      <c r="E184">
        <v>15082</v>
      </c>
      <c r="F184">
        <v>0.85189317758414196</v>
      </c>
      <c r="G184">
        <v>2.26097334571012</v>
      </c>
      <c r="H184" t="s">
        <v>67</v>
      </c>
      <c r="I184" t="s">
        <v>100</v>
      </c>
      <c r="J184" t="s">
        <v>101</v>
      </c>
      <c r="K184">
        <v>0</v>
      </c>
      <c r="L184">
        <v>0.91059845829660402</v>
      </c>
    </row>
    <row r="185" spans="1:12">
      <c r="A185" t="str">
        <f t="shared" si="2"/>
        <v>N411H6</v>
      </c>
      <c r="B185">
        <v>6</v>
      </c>
      <c r="C185">
        <v>84</v>
      </c>
      <c r="D185">
        <v>88.450023910053503</v>
      </c>
      <c r="E185">
        <v>3154</v>
      </c>
      <c r="F185">
        <v>0.94968883315872499</v>
      </c>
      <c r="G185">
        <v>2.6632847178186401</v>
      </c>
      <c r="H185" t="s">
        <v>67</v>
      </c>
      <c r="I185" t="s">
        <v>102</v>
      </c>
      <c r="J185" t="s">
        <v>103</v>
      </c>
      <c r="K185">
        <v>0</v>
      </c>
      <c r="L185">
        <v>1.06348529777532</v>
      </c>
    </row>
    <row r="186" spans="1:12">
      <c r="A186" t="str">
        <f t="shared" si="2"/>
        <v>R101H6</v>
      </c>
      <c r="B186">
        <v>6</v>
      </c>
      <c r="C186">
        <v>25</v>
      </c>
      <c r="D186">
        <v>21.536608789705301</v>
      </c>
      <c r="E186">
        <v>756</v>
      </c>
      <c r="F186">
        <v>1.1608141395014</v>
      </c>
      <c r="G186">
        <v>3.3068783068783101</v>
      </c>
      <c r="H186" t="s">
        <v>67</v>
      </c>
      <c r="I186" t="s">
        <v>104</v>
      </c>
      <c r="J186" t="s">
        <v>105</v>
      </c>
      <c r="K186">
        <v>0</v>
      </c>
      <c r="L186">
        <v>1.23245129966013</v>
      </c>
    </row>
    <row r="187" spans="1:12">
      <c r="A187" t="str">
        <f t="shared" si="2"/>
        <v>S116H6</v>
      </c>
      <c r="B187">
        <v>6</v>
      </c>
      <c r="C187">
        <v>232</v>
      </c>
      <c r="D187">
        <v>311.01339590002402</v>
      </c>
      <c r="E187">
        <v>6611</v>
      </c>
      <c r="F187">
        <v>0.74594857667988301</v>
      </c>
      <c r="G187">
        <v>3.5093026773559202</v>
      </c>
      <c r="H187" t="s">
        <v>67</v>
      </c>
      <c r="I187" t="s">
        <v>106</v>
      </c>
      <c r="J187" t="s">
        <v>107</v>
      </c>
      <c r="K187">
        <v>0</v>
      </c>
      <c r="L187">
        <v>0.76067462023687005</v>
      </c>
    </row>
    <row r="188" spans="1:12">
      <c r="A188" t="str">
        <f t="shared" si="2"/>
        <v>S308H6</v>
      </c>
      <c r="B188">
        <v>6</v>
      </c>
      <c r="C188">
        <v>158</v>
      </c>
      <c r="D188">
        <v>188.73286305310299</v>
      </c>
      <c r="E188">
        <v>7228</v>
      </c>
      <c r="F188">
        <v>0.837162100145452</v>
      </c>
      <c r="G188">
        <v>2.1859435528500302</v>
      </c>
      <c r="H188" t="s">
        <v>67</v>
      </c>
      <c r="I188" t="s">
        <v>108</v>
      </c>
      <c r="J188" t="s">
        <v>109</v>
      </c>
      <c r="K188">
        <v>0</v>
      </c>
      <c r="L188">
        <v>0.85986192142153395</v>
      </c>
    </row>
    <row r="189" spans="1:12">
      <c r="A189" t="str">
        <f t="shared" si="2"/>
        <v>S314H6</v>
      </c>
      <c r="B189">
        <v>6</v>
      </c>
      <c r="C189">
        <v>378</v>
      </c>
      <c r="D189">
        <v>445.75521367144501</v>
      </c>
      <c r="E189">
        <v>11978</v>
      </c>
      <c r="F189">
        <v>0.847999055101607</v>
      </c>
      <c r="G189">
        <v>3.1557856069460701</v>
      </c>
      <c r="H189" t="s">
        <v>67</v>
      </c>
      <c r="I189" t="s">
        <v>110</v>
      </c>
      <c r="J189" t="s">
        <v>111</v>
      </c>
      <c r="K189">
        <v>0</v>
      </c>
      <c r="L189">
        <v>0.86089888671765602</v>
      </c>
    </row>
    <row r="190" spans="1:12">
      <c r="A190" t="str">
        <f t="shared" si="2"/>
        <v>T101H6</v>
      </c>
      <c r="B190">
        <v>6</v>
      </c>
      <c r="C190">
        <v>378</v>
      </c>
      <c r="D190">
        <v>400.58868061054602</v>
      </c>
      <c r="E190">
        <v>11653</v>
      </c>
      <c r="F190">
        <v>0.94361128583034803</v>
      </c>
      <c r="G190">
        <v>3.2437998798592602</v>
      </c>
      <c r="H190" t="s">
        <v>67</v>
      </c>
      <c r="I190" t="s">
        <v>112</v>
      </c>
      <c r="J190" t="s">
        <v>113</v>
      </c>
      <c r="K190">
        <v>0</v>
      </c>
      <c r="L190">
        <v>0.91691753657432595</v>
      </c>
    </row>
    <row r="191" spans="1:12">
      <c r="A191" t="str">
        <f t="shared" si="2"/>
        <v>T202H6</v>
      </c>
      <c r="B191">
        <v>6</v>
      </c>
      <c r="C191">
        <v>130</v>
      </c>
      <c r="D191">
        <v>142.58899438348999</v>
      </c>
      <c r="E191">
        <v>3418</v>
      </c>
      <c r="F191">
        <v>0.91171131798831295</v>
      </c>
      <c r="G191">
        <v>3.8033937975424199</v>
      </c>
      <c r="H191" t="s">
        <v>67</v>
      </c>
      <c r="I191" t="s">
        <v>114</v>
      </c>
      <c r="J191" t="s">
        <v>115</v>
      </c>
      <c r="K191">
        <v>0</v>
      </c>
      <c r="L191">
        <v>0.89244145807722297</v>
      </c>
    </row>
    <row r="192" spans="1:12">
      <c r="A192" t="str">
        <f t="shared" ref="A192:A255" si="3">CONCATENATE(I192, B192)</f>
        <v>T312H6</v>
      </c>
      <c r="B192">
        <v>6</v>
      </c>
      <c r="C192">
        <v>3</v>
      </c>
      <c r="D192">
        <v>1.9690114795309299</v>
      </c>
      <c r="E192">
        <v>1223</v>
      </c>
      <c r="F192">
        <v>1.52360716592403</v>
      </c>
      <c r="G192">
        <v>0.245298446443173</v>
      </c>
      <c r="H192" t="s">
        <v>67</v>
      </c>
      <c r="I192" t="s">
        <v>116</v>
      </c>
      <c r="J192" t="s">
        <v>117</v>
      </c>
      <c r="K192">
        <v>0</v>
      </c>
      <c r="L192">
        <v>0.62819234318905504</v>
      </c>
    </row>
    <row r="193" spans="1:12">
      <c r="A193" t="str">
        <f t="shared" si="3"/>
        <v>V217H6</v>
      </c>
      <c r="B193">
        <v>6</v>
      </c>
      <c r="C193">
        <v>290</v>
      </c>
      <c r="D193">
        <v>285.13182123172999</v>
      </c>
      <c r="E193">
        <v>8070</v>
      </c>
      <c r="F193">
        <v>1.0170734320260699</v>
      </c>
      <c r="G193">
        <v>3.5935563816604699</v>
      </c>
      <c r="H193" t="s">
        <v>67</v>
      </c>
      <c r="I193" t="s">
        <v>118</v>
      </c>
      <c r="J193" t="s">
        <v>119</v>
      </c>
      <c r="K193">
        <v>0</v>
      </c>
      <c r="L193">
        <v>0.97329027049884898</v>
      </c>
    </row>
    <row r="194" spans="1:12">
      <c r="A194" t="str">
        <f t="shared" si="3"/>
        <v>W107H6</v>
      </c>
      <c r="B194">
        <v>6</v>
      </c>
      <c r="C194">
        <v>22</v>
      </c>
      <c r="D194">
        <v>15.9296563553092</v>
      </c>
      <c r="E194">
        <v>900</v>
      </c>
      <c r="F194">
        <v>1.3810718517268901</v>
      </c>
      <c r="G194">
        <v>2.4444444444444402</v>
      </c>
      <c r="H194" t="s">
        <v>67</v>
      </c>
      <c r="I194" t="s">
        <v>120</v>
      </c>
      <c r="J194" t="s">
        <v>121</v>
      </c>
      <c r="K194">
        <v>0</v>
      </c>
      <c r="L194">
        <v>1.2254367995431901</v>
      </c>
    </row>
    <row r="195" spans="1:12">
      <c r="A195" t="str">
        <f t="shared" si="3"/>
        <v>Z102H6</v>
      </c>
      <c r="B195">
        <v>6</v>
      </c>
      <c r="C195">
        <v>18</v>
      </c>
      <c r="D195">
        <v>20.3746622574374</v>
      </c>
      <c r="E195">
        <v>881</v>
      </c>
      <c r="F195">
        <v>0.88345022717760302</v>
      </c>
      <c r="G195">
        <v>2.0431328036322398</v>
      </c>
      <c r="H195" t="s">
        <v>67</v>
      </c>
      <c r="I195" t="s">
        <v>122</v>
      </c>
      <c r="J195" t="s">
        <v>123</v>
      </c>
      <c r="K195">
        <v>0</v>
      </c>
      <c r="L195">
        <v>1.02324738165569</v>
      </c>
    </row>
    <row r="196" spans="1:12">
      <c r="A196" t="str">
        <f t="shared" si="3"/>
        <v>A111H7</v>
      </c>
      <c r="B196">
        <v>7</v>
      </c>
      <c r="C196">
        <v>232</v>
      </c>
      <c r="D196">
        <v>262.44626317722202</v>
      </c>
      <c r="E196">
        <v>8998</v>
      </c>
      <c r="F196">
        <v>0.88399048701005001</v>
      </c>
      <c r="G196">
        <v>2.5783507446099101</v>
      </c>
      <c r="H196" t="s">
        <v>67</v>
      </c>
      <c r="I196" t="s">
        <v>68</v>
      </c>
      <c r="J196" t="s">
        <v>69</v>
      </c>
      <c r="K196">
        <v>0</v>
      </c>
      <c r="L196">
        <v>0.90954680117604003</v>
      </c>
    </row>
    <row r="197" spans="1:12">
      <c r="A197" t="str">
        <f t="shared" si="3"/>
        <v>A210H7</v>
      </c>
      <c r="B197">
        <v>7</v>
      </c>
      <c r="C197">
        <v>179</v>
      </c>
      <c r="D197">
        <v>202.26309910139901</v>
      </c>
      <c r="E197">
        <v>6694</v>
      </c>
      <c r="F197">
        <v>0.88498594550983101</v>
      </c>
      <c r="G197">
        <v>2.6740364505527299</v>
      </c>
      <c r="H197" t="s">
        <v>67</v>
      </c>
      <c r="I197" t="s">
        <v>70</v>
      </c>
      <c r="J197" t="s">
        <v>71</v>
      </c>
      <c r="K197">
        <v>0</v>
      </c>
      <c r="L197">
        <v>0.96821973745572898</v>
      </c>
    </row>
    <row r="198" spans="1:12">
      <c r="A198" t="str">
        <f t="shared" si="3"/>
        <v>B120H7</v>
      </c>
      <c r="B198">
        <v>7</v>
      </c>
      <c r="C198">
        <v>122</v>
      </c>
      <c r="D198">
        <v>135.542254453813</v>
      </c>
      <c r="E198">
        <v>4069</v>
      </c>
      <c r="F198">
        <v>0.90008831925967603</v>
      </c>
      <c r="G198">
        <v>2.99827967559597</v>
      </c>
      <c r="H198" t="s">
        <v>67</v>
      </c>
      <c r="I198" t="s">
        <v>72</v>
      </c>
      <c r="J198" t="s">
        <v>73</v>
      </c>
      <c r="K198">
        <v>0</v>
      </c>
      <c r="L198">
        <v>0.93471539957397198</v>
      </c>
    </row>
    <row r="199" spans="1:12">
      <c r="A199" t="str">
        <f t="shared" si="3"/>
        <v>C121H7</v>
      </c>
      <c r="B199">
        <v>7</v>
      </c>
      <c r="C199">
        <v>23</v>
      </c>
      <c r="D199">
        <v>22.240433239311098</v>
      </c>
      <c r="E199">
        <v>840</v>
      </c>
      <c r="F199">
        <v>1.0341525163883201</v>
      </c>
      <c r="G199">
        <v>2.7380952380952399</v>
      </c>
      <c r="H199" t="s">
        <v>67</v>
      </c>
      <c r="I199" t="s">
        <v>74</v>
      </c>
      <c r="J199" t="s">
        <v>75</v>
      </c>
      <c r="K199">
        <v>0</v>
      </c>
      <c r="L199">
        <v>1.0934689257222301</v>
      </c>
    </row>
    <row r="200" spans="1:12">
      <c r="A200" t="str">
        <f t="shared" si="3"/>
        <v>C313H7</v>
      </c>
      <c r="B200">
        <v>7</v>
      </c>
      <c r="C200">
        <v>114</v>
      </c>
      <c r="D200">
        <v>109.02692196692701</v>
      </c>
      <c r="E200">
        <v>4824</v>
      </c>
      <c r="F200">
        <v>1.0456133030572199</v>
      </c>
      <c r="G200">
        <v>2.3631840796019898</v>
      </c>
      <c r="H200" t="s">
        <v>67</v>
      </c>
      <c r="I200" t="s">
        <v>76</v>
      </c>
      <c r="J200" t="s">
        <v>77</v>
      </c>
      <c r="K200">
        <v>0</v>
      </c>
      <c r="L200">
        <v>1.1238163888074799</v>
      </c>
    </row>
    <row r="201" spans="1:12">
      <c r="A201" t="str">
        <f t="shared" si="3"/>
        <v>C418H7</v>
      </c>
      <c r="B201">
        <v>7</v>
      </c>
      <c r="C201">
        <v>299</v>
      </c>
      <c r="D201">
        <v>247.12759139904301</v>
      </c>
      <c r="E201">
        <v>9487</v>
      </c>
      <c r="F201">
        <v>1.2099013238760501</v>
      </c>
      <c r="G201">
        <v>3.15168124802361</v>
      </c>
      <c r="H201" t="s">
        <v>67</v>
      </c>
      <c r="I201" t="s">
        <v>78</v>
      </c>
      <c r="J201" t="s">
        <v>79</v>
      </c>
      <c r="K201">
        <v>0</v>
      </c>
      <c r="L201">
        <v>1.0790052841872</v>
      </c>
    </row>
    <row r="202" spans="1:12">
      <c r="A202" t="str">
        <f t="shared" si="3"/>
        <v>D102H7</v>
      </c>
      <c r="B202">
        <v>7</v>
      </c>
      <c r="C202">
        <v>15</v>
      </c>
      <c r="D202">
        <v>32.151426725613703</v>
      </c>
      <c r="E202">
        <v>3194</v>
      </c>
      <c r="F202">
        <v>0.46654228218277199</v>
      </c>
      <c r="G202">
        <v>0.46963055729492797</v>
      </c>
      <c r="H202" t="s">
        <v>67</v>
      </c>
      <c r="I202" t="s">
        <v>80</v>
      </c>
      <c r="J202" t="s">
        <v>81</v>
      </c>
      <c r="K202">
        <v>0</v>
      </c>
      <c r="L202">
        <v>0.81484672133748004</v>
      </c>
    </row>
    <row r="203" spans="1:12">
      <c r="A203" t="str">
        <f t="shared" si="3"/>
        <v>F704H7</v>
      </c>
      <c r="B203">
        <v>7</v>
      </c>
      <c r="C203">
        <v>343</v>
      </c>
      <c r="D203">
        <v>378.502454249636</v>
      </c>
      <c r="E203">
        <v>8113</v>
      </c>
      <c r="F203">
        <v>0.90620284267371998</v>
      </c>
      <c r="G203">
        <v>4.2277825711820496</v>
      </c>
      <c r="H203" t="s">
        <v>67</v>
      </c>
      <c r="I203" t="s">
        <v>82</v>
      </c>
      <c r="J203" t="s">
        <v>83</v>
      </c>
      <c r="K203">
        <v>0</v>
      </c>
      <c r="L203">
        <v>0.90598389158084702</v>
      </c>
    </row>
    <row r="204" spans="1:12">
      <c r="A204" t="str">
        <f t="shared" si="3"/>
        <v>G107H7</v>
      </c>
      <c r="B204">
        <v>7</v>
      </c>
      <c r="C204">
        <v>327</v>
      </c>
      <c r="D204">
        <v>331.70759937488998</v>
      </c>
      <c r="E204">
        <v>12315</v>
      </c>
      <c r="F204">
        <v>0.98580798455096597</v>
      </c>
      <c r="G204">
        <v>2.6552984165651599</v>
      </c>
      <c r="H204" t="s">
        <v>67</v>
      </c>
      <c r="I204" t="s">
        <v>84</v>
      </c>
      <c r="J204" t="s">
        <v>85</v>
      </c>
      <c r="K204">
        <v>0</v>
      </c>
      <c r="L204">
        <v>0.96528387905070401</v>
      </c>
    </row>
    <row r="205" spans="1:12">
      <c r="A205" t="str">
        <f t="shared" si="3"/>
        <v>G405H7</v>
      </c>
      <c r="B205">
        <v>7</v>
      </c>
      <c r="C205">
        <v>169</v>
      </c>
      <c r="D205">
        <v>196.89099306397301</v>
      </c>
      <c r="E205">
        <v>6116</v>
      </c>
      <c r="F205">
        <v>0.85834297125561998</v>
      </c>
      <c r="G205">
        <v>2.76324395029431</v>
      </c>
      <c r="H205" t="s">
        <v>67</v>
      </c>
      <c r="I205" t="s">
        <v>86</v>
      </c>
      <c r="J205" t="s">
        <v>87</v>
      </c>
      <c r="K205">
        <v>0</v>
      </c>
      <c r="L205">
        <v>0.89545680269219396</v>
      </c>
    </row>
    <row r="206" spans="1:12">
      <c r="A206" t="str">
        <f t="shared" si="3"/>
        <v>H103H7</v>
      </c>
      <c r="B206">
        <v>7</v>
      </c>
      <c r="C206">
        <v>19</v>
      </c>
      <c r="D206">
        <v>24.425354649144001</v>
      </c>
      <c r="E206">
        <v>840</v>
      </c>
      <c r="F206">
        <v>0.77788020984439998</v>
      </c>
      <c r="G206">
        <v>2.2619047619047601</v>
      </c>
      <c r="H206" t="s">
        <v>67</v>
      </c>
      <c r="I206" t="s">
        <v>88</v>
      </c>
      <c r="J206" t="s">
        <v>89</v>
      </c>
      <c r="K206">
        <v>0</v>
      </c>
      <c r="L206">
        <v>0.99523299389320197</v>
      </c>
    </row>
    <row r="207" spans="1:12">
      <c r="A207" t="str">
        <f t="shared" si="3"/>
        <v>H202H7</v>
      </c>
      <c r="B207">
        <v>7</v>
      </c>
      <c r="C207">
        <v>126</v>
      </c>
      <c r="D207">
        <v>173.29625491292001</v>
      </c>
      <c r="E207">
        <v>7118</v>
      </c>
      <c r="F207">
        <v>0.72707860919045197</v>
      </c>
      <c r="G207">
        <v>1.77016015734757</v>
      </c>
      <c r="H207" t="s">
        <v>67</v>
      </c>
      <c r="I207" t="s">
        <v>90</v>
      </c>
      <c r="J207" t="s">
        <v>91</v>
      </c>
      <c r="K207">
        <v>0</v>
      </c>
      <c r="L207">
        <v>0.78892054618645102</v>
      </c>
    </row>
    <row r="208" spans="1:12">
      <c r="A208" t="str">
        <f t="shared" si="3"/>
        <v>H212H7</v>
      </c>
      <c r="B208">
        <v>7</v>
      </c>
      <c r="C208">
        <v>19</v>
      </c>
      <c r="D208">
        <v>15.263532267712501</v>
      </c>
      <c r="E208">
        <v>453</v>
      </c>
      <c r="F208">
        <v>1.2447970539683899</v>
      </c>
      <c r="G208">
        <v>4.1942604856512098</v>
      </c>
      <c r="H208" t="s">
        <v>67</v>
      </c>
      <c r="I208" t="s">
        <v>92</v>
      </c>
      <c r="J208" t="s">
        <v>93</v>
      </c>
      <c r="K208">
        <v>0</v>
      </c>
      <c r="L208">
        <v>1.09619686599983</v>
      </c>
    </row>
    <row r="209" spans="1:12">
      <c r="A209" t="str">
        <f t="shared" si="3"/>
        <v>L106H7</v>
      </c>
      <c r="B209">
        <v>7</v>
      </c>
      <c r="C209">
        <v>224</v>
      </c>
      <c r="D209">
        <v>237.89213198571599</v>
      </c>
      <c r="E209">
        <v>7741</v>
      </c>
      <c r="F209">
        <v>0.94160323054925699</v>
      </c>
      <c r="G209">
        <v>2.89368298669423</v>
      </c>
      <c r="H209" t="s">
        <v>67</v>
      </c>
      <c r="I209" t="s">
        <v>94</v>
      </c>
      <c r="J209" t="s">
        <v>95</v>
      </c>
      <c r="K209">
        <v>0</v>
      </c>
      <c r="L209">
        <v>0.95517336539513797</v>
      </c>
    </row>
    <row r="210" spans="1:12">
      <c r="A210" t="str">
        <f t="shared" si="3"/>
        <v>L302H7</v>
      </c>
      <c r="B210">
        <v>7</v>
      </c>
      <c r="C210">
        <v>191</v>
      </c>
      <c r="D210">
        <v>222.35755864771201</v>
      </c>
      <c r="E210">
        <v>6853</v>
      </c>
      <c r="F210">
        <v>0.85897687113306997</v>
      </c>
      <c r="G210">
        <v>2.7871005399095301</v>
      </c>
      <c r="H210" t="s">
        <v>67</v>
      </c>
      <c r="I210" t="s">
        <v>96</v>
      </c>
      <c r="J210" t="s">
        <v>97</v>
      </c>
      <c r="K210">
        <v>0</v>
      </c>
      <c r="L210">
        <v>0.93275514338961096</v>
      </c>
    </row>
    <row r="211" spans="1:12">
      <c r="A211" t="str">
        <f t="shared" si="3"/>
        <v>L308H7</v>
      </c>
      <c r="B211">
        <v>7</v>
      </c>
      <c r="C211">
        <v>224</v>
      </c>
      <c r="D211">
        <v>217.17517716021601</v>
      </c>
      <c r="E211">
        <v>9498</v>
      </c>
      <c r="F211">
        <v>1.0314254277538799</v>
      </c>
      <c r="G211">
        <v>2.3583912402611098</v>
      </c>
      <c r="H211" t="s">
        <v>67</v>
      </c>
      <c r="I211" t="s">
        <v>98</v>
      </c>
      <c r="J211" t="s">
        <v>99</v>
      </c>
      <c r="K211">
        <v>0</v>
      </c>
      <c r="L211">
        <v>1.0828731278539101</v>
      </c>
    </row>
    <row r="212" spans="1:12">
      <c r="A212" t="str">
        <f t="shared" si="3"/>
        <v>N101H7</v>
      </c>
      <c r="B212">
        <v>7</v>
      </c>
      <c r="C212">
        <v>289</v>
      </c>
      <c r="D212">
        <v>377.52649368531303</v>
      </c>
      <c r="E212">
        <v>15136</v>
      </c>
      <c r="F212">
        <v>0.76550918898130604</v>
      </c>
      <c r="G212">
        <v>1.90935517970402</v>
      </c>
      <c r="H212" t="s">
        <v>67</v>
      </c>
      <c r="I212" t="s">
        <v>100</v>
      </c>
      <c r="J212" t="s">
        <v>101</v>
      </c>
      <c r="K212">
        <v>0</v>
      </c>
      <c r="L212">
        <v>0.91059845829660402</v>
      </c>
    </row>
    <row r="213" spans="1:12">
      <c r="A213" t="str">
        <f t="shared" si="3"/>
        <v>N411H7</v>
      </c>
      <c r="B213">
        <v>7</v>
      </c>
      <c r="C213">
        <v>72</v>
      </c>
      <c r="D213">
        <v>71.210628059708398</v>
      </c>
      <c r="E213">
        <v>2988</v>
      </c>
      <c r="F213">
        <v>1.01108502988669</v>
      </c>
      <c r="G213">
        <v>2.4096385542168699</v>
      </c>
      <c r="H213" t="s">
        <v>67</v>
      </c>
      <c r="I213" t="s">
        <v>102</v>
      </c>
      <c r="J213" t="s">
        <v>103</v>
      </c>
      <c r="K213">
        <v>0</v>
      </c>
      <c r="L213">
        <v>1.06348529777532</v>
      </c>
    </row>
    <row r="214" spans="1:12">
      <c r="A214" t="str">
        <f t="shared" si="3"/>
        <v>R101H7</v>
      </c>
      <c r="B214">
        <v>7</v>
      </c>
      <c r="C214">
        <v>27</v>
      </c>
      <c r="D214">
        <v>23.1722358283827</v>
      </c>
      <c r="E214">
        <v>803</v>
      </c>
      <c r="F214">
        <v>1.1651875200980299</v>
      </c>
      <c r="G214">
        <v>3.36239103362391</v>
      </c>
      <c r="H214" t="s">
        <v>67</v>
      </c>
      <c r="I214" t="s">
        <v>104</v>
      </c>
      <c r="J214" t="s">
        <v>105</v>
      </c>
      <c r="K214">
        <v>0</v>
      </c>
      <c r="L214">
        <v>1.23245129966013</v>
      </c>
    </row>
    <row r="215" spans="1:12">
      <c r="A215" t="str">
        <f t="shared" si="3"/>
        <v>S116H7</v>
      </c>
      <c r="B215">
        <v>7</v>
      </c>
      <c r="C215">
        <v>219</v>
      </c>
      <c r="D215">
        <v>307.76053716910701</v>
      </c>
      <c r="E215">
        <v>6713</v>
      </c>
      <c r="F215">
        <v>0.71159220741697904</v>
      </c>
      <c r="G215">
        <v>3.26232682854164</v>
      </c>
      <c r="H215" t="s">
        <v>67</v>
      </c>
      <c r="I215" t="s">
        <v>106</v>
      </c>
      <c r="J215" t="s">
        <v>107</v>
      </c>
      <c r="K215">
        <v>0</v>
      </c>
      <c r="L215">
        <v>0.76067462023687005</v>
      </c>
    </row>
    <row r="216" spans="1:12">
      <c r="A216" t="str">
        <f t="shared" si="3"/>
        <v>S308H7</v>
      </c>
      <c r="B216">
        <v>7</v>
      </c>
      <c r="C216">
        <v>150</v>
      </c>
      <c r="D216">
        <v>167.07371477310201</v>
      </c>
      <c r="E216">
        <v>7662</v>
      </c>
      <c r="F216">
        <v>0.89780729544267901</v>
      </c>
      <c r="G216">
        <v>1.9577133907595901</v>
      </c>
      <c r="H216" t="s">
        <v>67</v>
      </c>
      <c r="I216" t="s">
        <v>108</v>
      </c>
      <c r="J216" t="s">
        <v>109</v>
      </c>
      <c r="K216">
        <v>0</v>
      </c>
      <c r="L216">
        <v>0.85986192142153395</v>
      </c>
    </row>
    <row r="217" spans="1:12">
      <c r="A217" t="str">
        <f t="shared" si="3"/>
        <v>S314H7</v>
      </c>
      <c r="B217">
        <v>7</v>
      </c>
      <c r="C217">
        <v>314</v>
      </c>
      <c r="D217">
        <v>406.71210997768901</v>
      </c>
      <c r="E217">
        <v>12011</v>
      </c>
      <c r="F217">
        <v>0.772044874732708</v>
      </c>
      <c r="G217">
        <v>2.6142702522687502</v>
      </c>
      <c r="H217" t="s">
        <v>67</v>
      </c>
      <c r="I217" t="s">
        <v>110</v>
      </c>
      <c r="J217" t="s">
        <v>111</v>
      </c>
      <c r="K217">
        <v>0</v>
      </c>
      <c r="L217">
        <v>0.86089888671765602</v>
      </c>
    </row>
    <row r="218" spans="1:12">
      <c r="A218" t="str">
        <f t="shared" si="3"/>
        <v>T101H7</v>
      </c>
      <c r="B218">
        <v>7</v>
      </c>
      <c r="C218">
        <v>397</v>
      </c>
      <c r="D218">
        <v>398.64959957865398</v>
      </c>
      <c r="E218">
        <v>11574</v>
      </c>
      <c r="F218">
        <v>0.99586203126656303</v>
      </c>
      <c r="G218">
        <v>3.4301019526525001</v>
      </c>
      <c r="H218" t="s">
        <v>67</v>
      </c>
      <c r="I218" t="s">
        <v>112</v>
      </c>
      <c r="J218" t="s">
        <v>113</v>
      </c>
      <c r="K218">
        <v>0</v>
      </c>
      <c r="L218">
        <v>0.91691753657432595</v>
      </c>
    </row>
    <row r="219" spans="1:12">
      <c r="A219" t="str">
        <f t="shared" si="3"/>
        <v>T202H7</v>
      </c>
      <c r="B219">
        <v>7</v>
      </c>
      <c r="C219">
        <v>135</v>
      </c>
      <c r="D219">
        <v>143.13632016119001</v>
      </c>
      <c r="E219">
        <v>3327</v>
      </c>
      <c r="F219">
        <v>0.94315684410478295</v>
      </c>
      <c r="G219">
        <v>4.05770964833183</v>
      </c>
      <c r="H219" t="s">
        <v>67</v>
      </c>
      <c r="I219" t="s">
        <v>114</v>
      </c>
      <c r="J219" t="s">
        <v>115</v>
      </c>
      <c r="K219">
        <v>0</v>
      </c>
      <c r="L219">
        <v>0.89244145807722297</v>
      </c>
    </row>
    <row r="220" spans="1:12">
      <c r="A220" t="str">
        <f t="shared" si="3"/>
        <v>T312H7</v>
      </c>
      <c r="B220">
        <v>7</v>
      </c>
      <c r="C220">
        <v>1</v>
      </c>
      <c r="D220">
        <v>2.3906525625754198</v>
      </c>
      <c r="E220">
        <v>1139</v>
      </c>
      <c r="F220">
        <v>0.41829583087670102</v>
      </c>
      <c r="G220">
        <v>8.7796312554872705E-2</v>
      </c>
      <c r="H220" t="s">
        <v>67</v>
      </c>
      <c r="I220" t="s">
        <v>116</v>
      </c>
      <c r="J220" t="s">
        <v>117</v>
      </c>
      <c r="K220">
        <v>0</v>
      </c>
      <c r="L220">
        <v>0.62819234318905504</v>
      </c>
    </row>
    <row r="221" spans="1:12">
      <c r="A221" t="str">
        <f t="shared" si="3"/>
        <v>V217H7</v>
      </c>
      <c r="B221">
        <v>7</v>
      </c>
      <c r="C221">
        <v>265</v>
      </c>
      <c r="D221">
        <v>265.296632907353</v>
      </c>
      <c r="E221">
        <v>8005</v>
      </c>
      <c r="F221">
        <v>0.99888188212529505</v>
      </c>
      <c r="G221">
        <v>3.3104309806371002</v>
      </c>
      <c r="H221" t="s">
        <v>67</v>
      </c>
      <c r="I221" t="s">
        <v>118</v>
      </c>
      <c r="J221" t="s">
        <v>119</v>
      </c>
      <c r="K221">
        <v>0</v>
      </c>
      <c r="L221">
        <v>0.97329027049884898</v>
      </c>
    </row>
    <row r="222" spans="1:12">
      <c r="A222" t="str">
        <f t="shared" si="3"/>
        <v>W107H7</v>
      </c>
      <c r="B222">
        <v>7</v>
      </c>
      <c r="C222">
        <v>34</v>
      </c>
      <c r="D222">
        <v>21.005221896852301</v>
      </c>
      <c r="E222">
        <v>857</v>
      </c>
      <c r="F222">
        <v>1.6186451239105899</v>
      </c>
      <c r="G222">
        <v>3.9673278879813298</v>
      </c>
      <c r="H222" t="s">
        <v>67</v>
      </c>
      <c r="I222" t="s">
        <v>120</v>
      </c>
      <c r="J222" t="s">
        <v>121</v>
      </c>
      <c r="K222">
        <v>0</v>
      </c>
      <c r="L222">
        <v>1.2254367995431901</v>
      </c>
    </row>
    <row r="223" spans="1:12">
      <c r="A223" t="str">
        <f t="shared" si="3"/>
        <v>Z102H7</v>
      </c>
      <c r="B223">
        <v>7</v>
      </c>
      <c r="C223">
        <v>25</v>
      </c>
      <c r="D223">
        <v>19.484115952023199</v>
      </c>
      <c r="E223">
        <v>868</v>
      </c>
      <c r="F223">
        <v>1.28309644951605</v>
      </c>
      <c r="G223">
        <v>2.88018433179723</v>
      </c>
      <c r="H223" t="s">
        <v>67</v>
      </c>
      <c r="I223" t="s">
        <v>122</v>
      </c>
      <c r="J223" t="s">
        <v>123</v>
      </c>
      <c r="K223">
        <v>0</v>
      </c>
      <c r="L223">
        <v>1.02324738165569</v>
      </c>
    </row>
    <row r="224" spans="1:12">
      <c r="A224" t="str">
        <f t="shared" si="3"/>
        <v>A111H8</v>
      </c>
      <c r="B224">
        <v>8</v>
      </c>
      <c r="C224">
        <v>289</v>
      </c>
      <c r="D224">
        <v>296.13222944893897</v>
      </c>
      <c r="E224">
        <v>9516</v>
      </c>
      <c r="F224">
        <v>0.97591538934410704</v>
      </c>
      <c r="G224">
        <v>3.0369903320723002</v>
      </c>
      <c r="H224" t="s">
        <v>67</v>
      </c>
      <c r="I224" t="s">
        <v>68</v>
      </c>
      <c r="J224" t="s">
        <v>69</v>
      </c>
      <c r="K224">
        <v>0</v>
      </c>
      <c r="L224">
        <v>0.90954680117604003</v>
      </c>
    </row>
    <row r="225" spans="1:12">
      <c r="A225" t="str">
        <f t="shared" si="3"/>
        <v>A210H8</v>
      </c>
      <c r="B225">
        <v>8</v>
      </c>
      <c r="C225">
        <v>234</v>
      </c>
      <c r="D225">
        <v>230.07914233185801</v>
      </c>
      <c r="E225">
        <v>7079</v>
      </c>
      <c r="F225">
        <v>1.0170413433760399</v>
      </c>
      <c r="G225">
        <v>3.30555163158638</v>
      </c>
      <c r="H225" t="s">
        <v>67</v>
      </c>
      <c r="I225" t="s">
        <v>70</v>
      </c>
      <c r="J225" t="s">
        <v>71</v>
      </c>
      <c r="K225">
        <v>0</v>
      </c>
      <c r="L225">
        <v>0.96821973745572898</v>
      </c>
    </row>
    <row r="226" spans="1:12">
      <c r="A226" t="str">
        <f t="shared" si="3"/>
        <v>B120H8</v>
      </c>
      <c r="B226">
        <v>8</v>
      </c>
      <c r="C226">
        <v>147</v>
      </c>
      <c r="D226">
        <v>152.421832567069</v>
      </c>
      <c r="E226">
        <v>4182</v>
      </c>
      <c r="F226">
        <v>0.96442876669467004</v>
      </c>
      <c r="G226">
        <v>3.5150645624103301</v>
      </c>
      <c r="H226" t="s">
        <v>67</v>
      </c>
      <c r="I226" t="s">
        <v>72</v>
      </c>
      <c r="J226" t="s">
        <v>73</v>
      </c>
      <c r="K226">
        <v>0</v>
      </c>
      <c r="L226">
        <v>0.93471539957397198</v>
      </c>
    </row>
    <row r="227" spans="1:12">
      <c r="A227" t="str">
        <f t="shared" si="3"/>
        <v>C121H8</v>
      </c>
      <c r="B227">
        <v>8</v>
      </c>
      <c r="C227">
        <v>34</v>
      </c>
      <c r="D227">
        <v>19.965750674180601</v>
      </c>
      <c r="E227">
        <v>781</v>
      </c>
      <c r="F227">
        <v>1.70291618656584</v>
      </c>
      <c r="G227">
        <v>4.3533930857874497</v>
      </c>
      <c r="H227" t="s">
        <v>67</v>
      </c>
      <c r="I227" t="s">
        <v>74</v>
      </c>
      <c r="J227" t="s">
        <v>75</v>
      </c>
      <c r="K227">
        <v>0</v>
      </c>
      <c r="L227">
        <v>1.0934689257222301</v>
      </c>
    </row>
    <row r="228" spans="1:12">
      <c r="A228" t="str">
        <f t="shared" si="3"/>
        <v>C313H8</v>
      </c>
      <c r="B228">
        <v>8</v>
      </c>
      <c r="C228">
        <v>148</v>
      </c>
      <c r="D228">
        <v>132.456852243143</v>
      </c>
      <c r="E228">
        <v>4868</v>
      </c>
      <c r="F228">
        <v>1.1173449881499899</v>
      </c>
      <c r="G228">
        <v>3.0402629416598201</v>
      </c>
      <c r="H228" t="s">
        <v>67</v>
      </c>
      <c r="I228" t="s">
        <v>76</v>
      </c>
      <c r="J228" t="s">
        <v>77</v>
      </c>
      <c r="K228">
        <v>0</v>
      </c>
      <c r="L228">
        <v>1.1238163888074799</v>
      </c>
    </row>
    <row r="229" spans="1:12">
      <c r="A229" t="str">
        <f t="shared" si="3"/>
        <v>C418H8</v>
      </c>
      <c r="B229">
        <v>8</v>
      </c>
      <c r="C229">
        <v>302</v>
      </c>
      <c r="D229">
        <v>271.17614585482499</v>
      </c>
      <c r="E229">
        <v>10042</v>
      </c>
      <c r="F229">
        <v>1.1136672772157401</v>
      </c>
      <c r="G229">
        <v>3.0073690499900398</v>
      </c>
      <c r="H229" t="s">
        <v>67</v>
      </c>
      <c r="I229" t="s">
        <v>78</v>
      </c>
      <c r="J229" t="s">
        <v>79</v>
      </c>
      <c r="K229">
        <v>0</v>
      </c>
      <c r="L229">
        <v>1.0790052841872</v>
      </c>
    </row>
    <row r="230" spans="1:12">
      <c r="A230" t="str">
        <f t="shared" si="3"/>
        <v>D102H8</v>
      </c>
      <c r="B230">
        <v>8</v>
      </c>
      <c r="C230">
        <v>33</v>
      </c>
      <c r="D230">
        <v>34.844875507428902</v>
      </c>
      <c r="E230">
        <v>3398</v>
      </c>
      <c r="F230">
        <v>0.947054610453821</v>
      </c>
      <c r="G230">
        <v>0.97115950559152397</v>
      </c>
      <c r="H230" t="s">
        <v>67</v>
      </c>
      <c r="I230" t="s">
        <v>80</v>
      </c>
      <c r="J230" t="s">
        <v>81</v>
      </c>
      <c r="K230">
        <v>0</v>
      </c>
      <c r="L230">
        <v>0.81484672133748004</v>
      </c>
    </row>
    <row r="231" spans="1:12">
      <c r="A231" t="str">
        <f t="shared" si="3"/>
        <v>F704H8</v>
      </c>
      <c r="B231">
        <v>8</v>
      </c>
      <c r="C231">
        <v>419</v>
      </c>
      <c r="D231">
        <v>417.197923274522</v>
      </c>
      <c r="E231">
        <v>8317</v>
      </c>
      <c r="F231">
        <v>1.0043194767398</v>
      </c>
      <c r="G231">
        <v>5.0378742334976598</v>
      </c>
      <c r="H231" t="s">
        <v>67</v>
      </c>
      <c r="I231" t="s">
        <v>82</v>
      </c>
      <c r="J231" t="s">
        <v>83</v>
      </c>
      <c r="K231">
        <v>0</v>
      </c>
      <c r="L231">
        <v>0.90598389158084702</v>
      </c>
    </row>
    <row r="232" spans="1:12">
      <c r="A232" t="str">
        <f t="shared" si="3"/>
        <v>G107H8</v>
      </c>
      <c r="B232">
        <v>8</v>
      </c>
      <c r="C232">
        <v>379</v>
      </c>
      <c r="D232">
        <v>342.59293700433</v>
      </c>
      <c r="E232">
        <v>12471</v>
      </c>
      <c r="F232">
        <v>1.10626915812689</v>
      </c>
      <c r="G232">
        <v>3.0390505973859399</v>
      </c>
      <c r="H232" t="s">
        <v>67</v>
      </c>
      <c r="I232" t="s">
        <v>84</v>
      </c>
      <c r="J232" t="s">
        <v>85</v>
      </c>
      <c r="K232">
        <v>0</v>
      </c>
      <c r="L232">
        <v>0.96528387905070401</v>
      </c>
    </row>
    <row r="233" spans="1:12">
      <c r="A233" t="str">
        <f t="shared" si="3"/>
        <v>G405H8</v>
      </c>
      <c r="B233">
        <v>8</v>
      </c>
      <c r="C233">
        <v>173</v>
      </c>
      <c r="D233">
        <v>190.375526848406</v>
      </c>
      <c r="E233">
        <v>6057</v>
      </c>
      <c r="F233">
        <v>0.90873024943882696</v>
      </c>
      <c r="G233">
        <v>2.8561994386660099</v>
      </c>
      <c r="H233" t="s">
        <v>67</v>
      </c>
      <c r="I233" t="s">
        <v>86</v>
      </c>
      <c r="J233" t="s">
        <v>87</v>
      </c>
      <c r="K233">
        <v>0</v>
      </c>
      <c r="L233">
        <v>0.89545680269219396</v>
      </c>
    </row>
    <row r="234" spans="1:12">
      <c r="A234" t="str">
        <f t="shared" si="3"/>
        <v>H103H8</v>
      </c>
      <c r="B234">
        <v>8</v>
      </c>
      <c r="C234">
        <v>32</v>
      </c>
      <c r="D234">
        <v>34.173288550011101</v>
      </c>
      <c r="E234">
        <v>826</v>
      </c>
      <c r="F234">
        <v>0.93640388027536303</v>
      </c>
      <c r="G234">
        <v>3.87409200968523</v>
      </c>
      <c r="H234" t="s">
        <v>67</v>
      </c>
      <c r="I234" t="s">
        <v>88</v>
      </c>
      <c r="J234" t="s">
        <v>89</v>
      </c>
      <c r="K234">
        <v>0</v>
      </c>
      <c r="L234">
        <v>0.99523299389320197</v>
      </c>
    </row>
    <row r="235" spans="1:12">
      <c r="A235" t="str">
        <f t="shared" si="3"/>
        <v>H202H8</v>
      </c>
      <c r="B235">
        <v>8</v>
      </c>
      <c r="C235">
        <v>145</v>
      </c>
      <c r="D235">
        <v>199.10077191216101</v>
      </c>
      <c r="E235">
        <v>7258</v>
      </c>
      <c r="F235">
        <v>0.72827442408897602</v>
      </c>
      <c r="G235">
        <v>1.9977955359603199</v>
      </c>
      <c r="H235" t="s">
        <v>67</v>
      </c>
      <c r="I235" t="s">
        <v>90</v>
      </c>
      <c r="J235" t="s">
        <v>91</v>
      </c>
      <c r="K235">
        <v>0</v>
      </c>
      <c r="L235">
        <v>0.78892054618645102</v>
      </c>
    </row>
    <row r="236" spans="1:12">
      <c r="A236" t="str">
        <f t="shared" si="3"/>
        <v>H212H8</v>
      </c>
      <c r="B236">
        <v>8</v>
      </c>
      <c r="C236">
        <v>17</v>
      </c>
      <c r="D236">
        <v>16.336924021304</v>
      </c>
      <c r="E236">
        <v>444</v>
      </c>
      <c r="F236">
        <v>1.04058756580072</v>
      </c>
      <c r="G236">
        <v>3.8288288288288301</v>
      </c>
      <c r="H236" t="s">
        <v>67</v>
      </c>
      <c r="I236" t="s">
        <v>92</v>
      </c>
      <c r="J236" t="s">
        <v>93</v>
      </c>
      <c r="K236">
        <v>0</v>
      </c>
      <c r="L236">
        <v>1.09619686599983</v>
      </c>
    </row>
    <row r="237" spans="1:12">
      <c r="A237" t="str">
        <f t="shared" si="3"/>
        <v>L106H8</v>
      </c>
      <c r="B237">
        <v>8</v>
      </c>
      <c r="C237">
        <v>260</v>
      </c>
      <c r="D237">
        <v>249.45056538271601</v>
      </c>
      <c r="E237">
        <v>7820</v>
      </c>
      <c r="F237">
        <v>1.04229068232857</v>
      </c>
      <c r="G237">
        <v>3.3248081841432202</v>
      </c>
      <c r="H237" t="s">
        <v>67</v>
      </c>
      <c r="I237" t="s">
        <v>94</v>
      </c>
      <c r="J237" t="s">
        <v>95</v>
      </c>
      <c r="K237">
        <v>0</v>
      </c>
      <c r="L237">
        <v>0.95517336539513797</v>
      </c>
    </row>
    <row r="238" spans="1:12">
      <c r="A238" t="str">
        <f t="shared" si="3"/>
        <v>L302H8</v>
      </c>
      <c r="B238">
        <v>8</v>
      </c>
      <c r="C238">
        <v>273</v>
      </c>
      <c r="D238">
        <v>233.49794843969499</v>
      </c>
      <c r="E238">
        <v>7439</v>
      </c>
      <c r="F238">
        <v>1.16917515474663</v>
      </c>
      <c r="G238">
        <v>3.6698480978626198</v>
      </c>
      <c r="H238" t="s">
        <v>67</v>
      </c>
      <c r="I238" t="s">
        <v>96</v>
      </c>
      <c r="J238" t="s">
        <v>97</v>
      </c>
      <c r="K238">
        <v>0</v>
      </c>
      <c r="L238">
        <v>0.93275514338961096</v>
      </c>
    </row>
    <row r="239" spans="1:12">
      <c r="A239" t="str">
        <f t="shared" si="3"/>
        <v>L308H8</v>
      </c>
      <c r="B239">
        <v>8</v>
      </c>
      <c r="C239">
        <v>269</v>
      </c>
      <c r="D239">
        <v>251.32906944900401</v>
      </c>
      <c r="E239">
        <v>9886</v>
      </c>
      <c r="F239">
        <v>1.0703099350573999</v>
      </c>
      <c r="G239">
        <v>2.7210196237102999</v>
      </c>
      <c r="H239" t="s">
        <v>67</v>
      </c>
      <c r="I239" t="s">
        <v>98</v>
      </c>
      <c r="J239" t="s">
        <v>99</v>
      </c>
      <c r="K239">
        <v>0</v>
      </c>
      <c r="L239">
        <v>1.0828731278539101</v>
      </c>
    </row>
    <row r="240" spans="1:12">
      <c r="A240" t="str">
        <f t="shared" si="3"/>
        <v>N101H8</v>
      </c>
      <c r="B240">
        <v>8</v>
      </c>
      <c r="C240">
        <v>398</v>
      </c>
      <c r="D240">
        <v>434.81124737697502</v>
      </c>
      <c r="E240">
        <v>15531</v>
      </c>
      <c r="F240">
        <v>0.91533970751897198</v>
      </c>
      <c r="G240">
        <v>2.5626167020797102</v>
      </c>
      <c r="H240" t="s">
        <v>67</v>
      </c>
      <c r="I240" t="s">
        <v>100</v>
      </c>
      <c r="J240" t="s">
        <v>101</v>
      </c>
      <c r="K240">
        <v>0</v>
      </c>
      <c r="L240">
        <v>0.91059845829660402</v>
      </c>
    </row>
    <row r="241" spans="1:12">
      <c r="A241" t="str">
        <f t="shared" si="3"/>
        <v>N411H8</v>
      </c>
      <c r="B241">
        <v>8</v>
      </c>
      <c r="C241">
        <v>75</v>
      </c>
      <c r="D241">
        <v>82.815561000507699</v>
      </c>
      <c r="E241">
        <v>3238</v>
      </c>
      <c r="F241">
        <v>0.90562690264864798</v>
      </c>
      <c r="G241">
        <v>2.3162445954292799</v>
      </c>
      <c r="H241" t="s">
        <v>67</v>
      </c>
      <c r="I241" t="s">
        <v>102</v>
      </c>
      <c r="J241" t="s">
        <v>103</v>
      </c>
      <c r="K241">
        <v>0</v>
      </c>
      <c r="L241">
        <v>1.06348529777532</v>
      </c>
    </row>
    <row r="242" spans="1:12">
      <c r="A242" t="str">
        <f t="shared" si="3"/>
        <v>R101H8</v>
      </c>
      <c r="B242">
        <v>8</v>
      </c>
      <c r="C242">
        <v>34</v>
      </c>
      <c r="D242">
        <v>23.1998272184466</v>
      </c>
      <c r="E242">
        <v>763</v>
      </c>
      <c r="F242">
        <v>1.4655281558720401</v>
      </c>
      <c r="G242">
        <v>4.4560943643512498</v>
      </c>
      <c r="H242" t="s">
        <v>67</v>
      </c>
      <c r="I242" t="s">
        <v>104</v>
      </c>
      <c r="J242" t="s">
        <v>105</v>
      </c>
      <c r="K242">
        <v>0</v>
      </c>
      <c r="L242">
        <v>1.23245129966013</v>
      </c>
    </row>
    <row r="243" spans="1:12">
      <c r="A243" t="str">
        <f t="shared" si="3"/>
        <v>S116H8</v>
      </c>
      <c r="B243">
        <v>8</v>
      </c>
      <c r="C243">
        <v>230</v>
      </c>
      <c r="D243">
        <v>308.02110860680898</v>
      </c>
      <c r="E243">
        <v>7070</v>
      </c>
      <c r="F243">
        <v>0.74670207194662197</v>
      </c>
      <c r="G243">
        <v>3.25318246110325</v>
      </c>
      <c r="H243" t="s">
        <v>67</v>
      </c>
      <c r="I243" t="s">
        <v>106</v>
      </c>
      <c r="J243" t="s">
        <v>107</v>
      </c>
      <c r="K243">
        <v>0</v>
      </c>
      <c r="L243">
        <v>0.76067462023687005</v>
      </c>
    </row>
    <row r="244" spans="1:12">
      <c r="A244" t="str">
        <f t="shared" si="3"/>
        <v>S308H8</v>
      </c>
      <c r="B244">
        <v>8</v>
      </c>
      <c r="C244">
        <v>180</v>
      </c>
      <c r="D244">
        <v>198.691725715079</v>
      </c>
      <c r="E244">
        <v>7886</v>
      </c>
      <c r="F244">
        <v>0.90592599843899602</v>
      </c>
      <c r="G244">
        <v>2.2825259954349502</v>
      </c>
      <c r="H244" t="s">
        <v>67</v>
      </c>
      <c r="I244" t="s">
        <v>108</v>
      </c>
      <c r="J244" t="s">
        <v>109</v>
      </c>
      <c r="K244">
        <v>0</v>
      </c>
      <c r="L244">
        <v>0.85986192142153395</v>
      </c>
    </row>
    <row r="245" spans="1:12">
      <c r="A245" t="str">
        <f t="shared" si="3"/>
        <v>S314H8</v>
      </c>
      <c r="B245">
        <v>8</v>
      </c>
      <c r="C245">
        <v>400</v>
      </c>
      <c r="D245">
        <v>433.99108550242602</v>
      </c>
      <c r="E245">
        <v>11911</v>
      </c>
      <c r="F245">
        <v>0.92167791773170904</v>
      </c>
      <c r="G245">
        <v>3.3582402820921802</v>
      </c>
      <c r="H245" t="s">
        <v>67</v>
      </c>
      <c r="I245" t="s">
        <v>110</v>
      </c>
      <c r="J245" t="s">
        <v>111</v>
      </c>
      <c r="K245">
        <v>0</v>
      </c>
      <c r="L245">
        <v>0.86089888671765602</v>
      </c>
    </row>
    <row r="246" spans="1:12">
      <c r="A246" t="str">
        <f t="shared" si="3"/>
        <v>T101H8</v>
      </c>
      <c r="B246">
        <v>8</v>
      </c>
      <c r="C246">
        <v>411</v>
      </c>
      <c r="D246">
        <v>408.95422358853398</v>
      </c>
      <c r="E246">
        <v>11945</v>
      </c>
      <c r="F246">
        <v>1.0050024582054999</v>
      </c>
      <c r="G246">
        <v>3.4407701967350399</v>
      </c>
      <c r="H246" t="s">
        <v>67</v>
      </c>
      <c r="I246" t="s">
        <v>112</v>
      </c>
      <c r="J246" t="s">
        <v>113</v>
      </c>
      <c r="K246">
        <v>0</v>
      </c>
      <c r="L246">
        <v>0.91691753657432595</v>
      </c>
    </row>
    <row r="247" spans="1:12">
      <c r="A247" t="str">
        <f t="shared" si="3"/>
        <v>T202H8</v>
      </c>
      <c r="B247">
        <v>8</v>
      </c>
      <c r="C247">
        <v>140</v>
      </c>
      <c r="D247">
        <v>153.70326567149601</v>
      </c>
      <c r="E247">
        <v>3381</v>
      </c>
      <c r="F247">
        <v>0.91084596926662698</v>
      </c>
      <c r="G247">
        <v>4.1407867494824</v>
      </c>
      <c r="H247" t="s">
        <v>67</v>
      </c>
      <c r="I247" t="s">
        <v>114</v>
      </c>
      <c r="J247" t="s">
        <v>115</v>
      </c>
      <c r="K247">
        <v>0</v>
      </c>
      <c r="L247">
        <v>0.89244145807722297</v>
      </c>
    </row>
    <row r="248" spans="1:12">
      <c r="A248" t="str">
        <f t="shared" si="3"/>
        <v>T312H8</v>
      </c>
      <c r="B248">
        <v>8</v>
      </c>
      <c r="C248">
        <v>1</v>
      </c>
      <c r="D248">
        <v>1.7063377765704</v>
      </c>
      <c r="E248">
        <v>1088</v>
      </c>
      <c r="F248">
        <v>0.58605043721760497</v>
      </c>
      <c r="G248">
        <v>9.1911764705882304E-2</v>
      </c>
      <c r="H248" t="s">
        <v>67</v>
      </c>
      <c r="I248" t="s">
        <v>116</v>
      </c>
      <c r="J248" t="s">
        <v>117</v>
      </c>
      <c r="K248">
        <v>0</v>
      </c>
      <c r="L248">
        <v>0.62819234318905504</v>
      </c>
    </row>
    <row r="249" spans="1:12">
      <c r="A249" t="str">
        <f t="shared" si="3"/>
        <v>V217H8</v>
      </c>
      <c r="B249">
        <v>8</v>
      </c>
      <c r="C249">
        <v>342</v>
      </c>
      <c r="D249">
        <v>292.77160335963299</v>
      </c>
      <c r="E249">
        <v>8404</v>
      </c>
      <c r="F249">
        <v>1.16814607726794</v>
      </c>
      <c r="G249">
        <v>4.0694907187053797</v>
      </c>
      <c r="H249" t="s">
        <v>67</v>
      </c>
      <c r="I249" t="s">
        <v>118</v>
      </c>
      <c r="J249" t="s">
        <v>119</v>
      </c>
      <c r="K249">
        <v>0</v>
      </c>
      <c r="L249">
        <v>0.97329027049884898</v>
      </c>
    </row>
    <row r="250" spans="1:12">
      <c r="A250" t="str">
        <f t="shared" si="3"/>
        <v>W107H8</v>
      </c>
      <c r="B250">
        <v>8</v>
      </c>
      <c r="C250">
        <v>24</v>
      </c>
      <c r="D250">
        <v>20.894887067744701</v>
      </c>
      <c r="E250">
        <v>792</v>
      </c>
      <c r="F250">
        <v>1.1486063515054199</v>
      </c>
      <c r="G250">
        <v>3.0303030303030298</v>
      </c>
      <c r="H250" t="s">
        <v>67</v>
      </c>
      <c r="I250" t="s">
        <v>120</v>
      </c>
      <c r="J250" t="s">
        <v>121</v>
      </c>
      <c r="K250">
        <v>0</v>
      </c>
      <c r="L250">
        <v>1.2254367995431901</v>
      </c>
    </row>
    <row r="251" spans="1:12">
      <c r="A251" t="str">
        <f t="shared" si="3"/>
        <v>Z102H8</v>
      </c>
      <c r="B251">
        <v>8</v>
      </c>
      <c r="C251">
        <v>20</v>
      </c>
      <c r="D251">
        <v>25.099439860349701</v>
      </c>
      <c r="E251">
        <v>1033</v>
      </c>
      <c r="F251">
        <v>0.79683053132968795</v>
      </c>
      <c r="G251">
        <v>1.93610842207164</v>
      </c>
      <c r="H251" t="s">
        <v>67</v>
      </c>
      <c r="I251" t="s">
        <v>122</v>
      </c>
      <c r="J251" t="s">
        <v>123</v>
      </c>
      <c r="K251">
        <v>0</v>
      </c>
      <c r="L251">
        <v>1.02324738165569</v>
      </c>
    </row>
    <row r="252" spans="1:12">
      <c r="A252" t="str">
        <f t="shared" si="3"/>
        <v>A111H9</v>
      </c>
      <c r="B252">
        <v>9</v>
      </c>
      <c r="C252">
        <v>297</v>
      </c>
      <c r="D252">
        <v>294.99787487663002</v>
      </c>
      <c r="E252">
        <v>9208</v>
      </c>
      <c r="F252">
        <v>1.0067869137166101</v>
      </c>
      <c r="G252">
        <v>3.2254561251085998</v>
      </c>
      <c r="H252" t="s">
        <v>67</v>
      </c>
      <c r="I252" t="s">
        <v>68</v>
      </c>
      <c r="J252" t="s">
        <v>69</v>
      </c>
      <c r="K252">
        <v>0</v>
      </c>
      <c r="L252">
        <v>0.90954680117604003</v>
      </c>
    </row>
    <row r="253" spans="1:12">
      <c r="A253" t="str">
        <f t="shared" si="3"/>
        <v>A210H9</v>
      </c>
      <c r="B253">
        <v>9</v>
      </c>
      <c r="C253">
        <v>234</v>
      </c>
      <c r="D253">
        <v>237.01988387554999</v>
      </c>
      <c r="E253">
        <v>6831</v>
      </c>
      <c r="F253">
        <v>0.98725894289469995</v>
      </c>
      <c r="G253">
        <v>3.4255599472990799</v>
      </c>
      <c r="H253" t="s">
        <v>67</v>
      </c>
      <c r="I253" t="s">
        <v>70</v>
      </c>
      <c r="J253" t="s">
        <v>71</v>
      </c>
      <c r="K253">
        <v>0</v>
      </c>
      <c r="L253">
        <v>0.96821973745572898</v>
      </c>
    </row>
    <row r="254" spans="1:12">
      <c r="A254" t="str">
        <f t="shared" si="3"/>
        <v>B120H9</v>
      </c>
      <c r="B254">
        <v>9</v>
      </c>
      <c r="C254">
        <v>155</v>
      </c>
      <c r="D254">
        <v>151.84711928218701</v>
      </c>
      <c r="E254">
        <v>4069</v>
      </c>
      <c r="F254">
        <v>1.02076352012944</v>
      </c>
      <c r="G254">
        <v>3.8092897517817601</v>
      </c>
      <c r="H254" t="s">
        <v>67</v>
      </c>
      <c r="I254" t="s">
        <v>72</v>
      </c>
      <c r="J254" t="s">
        <v>73</v>
      </c>
      <c r="K254">
        <v>0</v>
      </c>
      <c r="L254">
        <v>0.93471539957397198</v>
      </c>
    </row>
    <row r="255" spans="1:12">
      <c r="A255" t="str">
        <f t="shared" si="3"/>
        <v>C121H9</v>
      </c>
      <c r="B255">
        <v>9</v>
      </c>
      <c r="C255">
        <v>29</v>
      </c>
      <c r="D255">
        <v>24.154103034754399</v>
      </c>
      <c r="E255">
        <v>814</v>
      </c>
      <c r="F255">
        <v>1.2006241738007399</v>
      </c>
      <c r="G255">
        <v>3.5626535626535598</v>
      </c>
      <c r="H255" t="s">
        <v>67</v>
      </c>
      <c r="I255" t="s">
        <v>74</v>
      </c>
      <c r="J255" t="s">
        <v>75</v>
      </c>
      <c r="K255">
        <v>0</v>
      </c>
      <c r="L255">
        <v>1.0934689257222301</v>
      </c>
    </row>
    <row r="256" spans="1:12">
      <c r="A256" t="str">
        <f t="shared" ref="A256:A319" si="4">CONCATENATE(I256, B256)</f>
        <v>C313H9</v>
      </c>
      <c r="B256">
        <v>9</v>
      </c>
      <c r="C256">
        <v>165</v>
      </c>
      <c r="D256">
        <v>123.58845041735501</v>
      </c>
      <c r="E256">
        <v>4813</v>
      </c>
      <c r="F256">
        <v>1.33507621013776</v>
      </c>
      <c r="G256">
        <v>3.4282152503635999</v>
      </c>
      <c r="H256" t="s">
        <v>67</v>
      </c>
      <c r="I256" t="s">
        <v>76</v>
      </c>
      <c r="J256" t="s">
        <v>77</v>
      </c>
      <c r="K256">
        <v>0</v>
      </c>
      <c r="L256">
        <v>1.1238163888074799</v>
      </c>
    </row>
    <row r="257" spans="1:12">
      <c r="A257" t="str">
        <f t="shared" si="4"/>
        <v>C418H9</v>
      </c>
      <c r="B257">
        <v>9</v>
      </c>
      <c r="C257">
        <v>279</v>
      </c>
      <c r="D257">
        <v>273.74312590565199</v>
      </c>
      <c r="E257">
        <v>9675</v>
      </c>
      <c r="F257">
        <v>1.0192036752592699</v>
      </c>
      <c r="G257">
        <v>2.8837209302325602</v>
      </c>
      <c r="H257" t="s">
        <v>67</v>
      </c>
      <c r="I257" t="s">
        <v>78</v>
      </c>
      <c r="J257" t="s">
        <v>79</v>
      </c>
      <c r="K257">
        <v>0</v>
      </c>
      <c r="L257">
        <v>1.0790052841872</v>
      </c>
    </row>
    <row r="258" spans="1:12">
      <c r="A258" t="str">
        <f t="shared" si="4"/>
        <v>D102H9</v>
      </c>
      <c r="B258">
        <v>9</v>
      </c>
      <c r="C258">
        <v>23</v>
      </c>
      <c r="D258">
        <v>35.303766686690302</v>
      </c>
      <c r="E258">
        <v>3368</v>
      </c>
      <c r="F258">
        <v>0.65148855656445104</v>
      </c>
      <c r="G258">
        <v>0.68289786223277904</v>
      </c>
      <c r="H258" t="s">
        <v>67</v>
      </c>
      <c r="I258" t="s">
        <v>80</v>
      </c>
      <c r="J258" t="s">
        <v>81</v>
      </c>
      <c r="K258">
        <v>0</v>
      </c>
      <c r="L258">
        <v>0.81484672133748004</v>
      </c>
    </row>
    <row r="259" spans="1:12">
      <c r="A259" t="str">
        <f t="shared" si="4"/>
        <v>F704H9</v>
      </c>
      <c r="B259">
        <v>9</v>
      </c>
      <c r="C259">
        <v>389</v>
      </c>
      <c r="D259">
        <v>391.40954471383702</v>
      </c>
      <c r="E259">
        <v>8095</v>
      </c>
      <c r="F259">
        <v>0.99384392959655998</v>
      </c>
      <c r="G259">
        <v>4.8054354539839403</v>
      </c>
      <c r="H259" t="s">
        <v>67</v>
      </c>
      <c r="I259" t="s">
        <v>82</v>
      </c>
      <c r="J259" t="s">
        <v>83</v>
      </c>
      <c r="K259">
        <v>0</v>
      </c>
      <c r="L259">
        <v>0.90598389158084702</v>
      </c>
    </row>
    <row r="260" spans="1:12">
      <c r="A260" t="str">
        <f t="shared" si="4"/>
        <v>G107H9</v>
      </c>
      <c r="B260">
        <v>9</v>
      </c>
      <c r="C260">
        <v>402</v>
      </c>
      <c r="D260">
        <v>366.39016264023297</v>
      </c>
      <c r="E260">
        <v>12313</v>
      </c>
      <c r="F260">
        <v>1.0971910301934999</v>
      </c>
      <c r="G260">
        <v>3.2648420368715998</v>
      </c>
      <c r="H260" t="s">
        <v>67</v>
      </c>
      <c r="I260" t="s">
        <v>84</v>
      </c>
      <c r="J260" t="s">
        <v>85</v>
      </c>
      <c r="K260">
        <v>0</v>
      </c>
      <c r="L260">
        <v>0.96528387905070401</v>
      </c>
    </row>
    <row r="261" spans="1:12">
      <c r="A261" t="str">
        <f t="shared" si="4"/>
        <v>G405H9</v>
      </c>
      <c r="B261">
        <v>9</v>
      </c>
      <c r="C261">
        <v>174</v>
      </c>
      <c r="D261">
        <v>183.09641210065499</v>
      </c>
      <c r="E261">
        <v>5969</v>
      </c>
      <c r="F261">
        <v>0.95031900409029302</v>
      </c>
      <c r="G261">
        <v>2.9150611492712302</v>
      </c>
      <c r="H261" t="s">
        <v>67</v>
      </c>
      <c r="I261" t="s">
        <v>86</v>
      </c>
      <c r="J261" t="s">
        <v>87</v>
      </c>
      <c r="K261">
        <v>0</v>
      </c>
      <c r="L261">
        <v>0.89545680269219396</v>
      </c>
    </row>
    <row r="262" spans="1:12">
      <c r="A262" t="str">
        <f t="shared" si="4"/>
        <v>H103H9</v>
      </c>
      <c r="B262">
        <v>9</v>
      </c>
      <c r="C262">
        <v>29</v>
      </c>
      <c r="D262">
        <v>29.673223435790799</v>
      </c>
      <c r="E262">
        <v>811</v>
      </c>
      <c r="F262">
        <v>0.97731208955954596</v>
      </c>
      <c r="G262">
        <v>3.5758323057953101</v>
      </c>
      <c r="H262" t="s">
        <v>67</v>
      </c>
      <c r="I262" t="s">
        <v>88</v>
      </c>
      <c r="J262" t="s">
        <v>89</v>
      </c>
      <c r="K262">
        <v>0</v>
      </c>
      <c r="L262">
        <v>0.99523299389320197</v>
      </c>
    </row>
    <row r="263" spans="1:12">
      <c r="A263" t="str">
        <f t="shared" si="4"/>
        <v>H202H9</v>
      </c>
      <c r="B263">
        <v>9</v>
      </c>
      <c r="C263">
        <v>171</v>
      </c>
      <c r="D263">
        <v>204.94002917765701</v>
      </c>
      <c r="E263">
        <v>7042</v>
      </c>
      <c r="F263">
        <v>0.834390434539096</v>
      </c>
      <c r="G263">
        <v>2.4282874183470602</v>
      </c>
      <c r="H263" t="s">
        <v>67</v>
      </c>
      <c r="I263" t="s">
        <v>90</v>
      </c>
      <c r="J263" t="s">
        <v>91</v>
      </c>
      <c r="K263">
        <v>0</v>
      </c>
      <c r="L263">
        <v>0.78892054618645102</v>
      </c>
    </row>
    <row r="264" spans="1:12">
      <c r="A264" t="str">
        <f t="shared" si="4"/>
        <v>H212H9</v>
      </c>
      <c r="B264">
        <v>9</v>
      </c>
      <c r="C264">
        <v>17</v>
      </c>
      <c r="D264">
        <v>15.1387769867611</v>
      </c>
      <c r="E264">
        <v>482</v>
      </c>
      <c r="F264">
        <v>1.1229440802824799</v>
      </c>
      <c r="G264">
        <v>3.5269709543568499</v>
      </c>
      <c r="H264" t="s">
        <v>67</v>
      </c>
      <c r="I264" t="s">
        <v>92</v>
      </c>
      <c r="J264" t="s">
        <v>93</v>
      </c>
      <c r="K264">
        <v>0</v>
      </c>
      <c r="L264">
        <v>1.09619686599983</v>
      </c>
    </row>
    <row r="265" spans="1:12">
      <c r="A265" t="str">
        <f t="shared" si="4"/>
        <v>L106H9</v>
      </c>
      <c r="B265">
        <v>9</v>
      </c>
      <c r="C265">
        <v>286</v>
      </c>
      <c r="D265">
        <v>265.09529436781298</v>
      </c>
      <c r="E265">
        <v>7728</v>
      </c>
      <c r="F265">
        <v>1.0788573244275801</v>
      </c>
      <c r="G265">
        <v>3.7008281573498998</v>
      </c>
      <c r="H265" t="s">
        <v>67</v>
      </c>
      <c r="I265" t="s">
        <v>94</v>
      </c>
      <c r="J265" t="s">
        <v>95</v>
      </c>
      <c r="K265">
        <v>0</v>
      </c>
      <c r="L265">
        <v>0.95517336539513797</v>
      </c>
    </row>
    <row r="266" spans="1:12">
      <c r="A266" t="str">
        <f t="shared" si="4"/>
        <v>L302H9</v>
      </c>
      <c r="B266">
        <v>9</v>
      </c>
      <c r="C266">
        <v>219</v>
      </c>
      <c r="D266">
        <v>247.19943420648301</v>
      </c>
      <c r="E266">
        <v>7183</v>
      </c>
      <c r="F266">
        <v>0.88592435780848899</v>
      </c>
      <c r="G266">
        <v>3.0488653765836</v>
      </c>
      <c r="H266" t="s">
        <v>67</v>
      </c>
      <c r="I266" t="s">
        <v>96</v>
      </c>
      <c r="J266" t="s">
        <v>97</v>
      </c>
      <c r="K266">
        <v>0</v>
      </c>
      <c r="L266">
        <v>0.93275514338961096</v>
      </c>
    </row>
    <row r="267" spans="1:12">
      <c r="A267" t="str">
        <f t="shared" si="4"/>
        <v>L308H9</v>
      </c>
      <c r="B267">
        <v>9</v>
      </c>
      <c r="C267">
        <v>284</v>
      </c>
      <c r="D267">
        <v>254.554161214754</v>
      </c>
      <c r="E267">
        <v>9703</v>
      </c>
      <c r="F267">
        <v>1.1156761242665501</v>
      </c>
      <c r="G267">
        <v>2.9269298155209702</v>
      </c>
      <c r="H267" t="s">
        <v>67</v>
      </c>
      <c r="I267" t="s">
        <v>98</v>
      </c>
      <c r="J267" t="s">
        <v>99</v>
      </c>
      <c r="K267">
        <v>0</v>
      </c>
      <c r="L267">
        <v>1.0828731278539101</v>
      </c>
    </row>
    <row r="268" spans="1:12">
      <c r="A268" t="str">
        <f t="shared" si="4"/>
        <v>N101H9</v>
      </c>
      <c r="B268">
        <v>9</v>
      </c>
      <c r="C268">
        <v>459</v>
      </c>
      <c r="D268">
        <v>473.13404767974799</v>
      </c>
      <c r="E268">
        <v>15872</v>
      </c>
      <c r="F268">
        <v>0.97012675847561203</v>
      </c>
      <c r="G268">
        <v>2.8918850806451601</v>
      </c>
      <c r="H268" t="s">
        <v>67</v>
      </c>
      <c r="I268" t="s">
        <v>100</v>
      </c>
      <c r="J268" t="s">
        <v>101</v>
      </c>
      <c r="K268">
        <v>0</v>
      </c>
      <c r="L268">
        <v>0.91059845829660402</v>
      </c>
    </row>
    <row r="269" spans="1:12">
      <c r="A269" t="str">
        <f t="shared" si="4"/>
        <v>N411H9</v>
      </c>
      <c r="B269">
        <v>9</v>
      </c>
      <c r="C269">
        <v>83</v>
      </c>
      <c r="D269">
        <v>78.104732372648499</v>
      </c>
      <c r="E269">
        <v>3210</v>
      </c>
      <c r="F269">
        <v>1.0626756853092501</v>
      </c>
      <c r="G269">
        <v>2.5856697819314598</v>
      </c>
      <c r="H269" t="s">
        <v>67</v>
      </c>
      <c r="I269" t="s">
        <v>102</v>
      </c>
      <c r="J269" t="s">
        <v>103</v>
      </c>
      <c r="K269">
        <v>0</v>
      </c>
      <c r="L269">
        <v>1.06348529777532</v>
      </c>
    </row>
    <row r="270" spans="1:12">
      <c r="A270" t="str">
        <f t="shared" si="4"/>
        <v>R101H9</v>
      </c>
      <c r="B270">
        <v>9</v>
      </c>
      <c r="C270">
        <v>33</v>
      </c>
      <c r="D270">
        <v>27.708714637735302</v>
      </c>
      <c r="E270">
        <v>764</v>
      </c>
      <c r="F270">
        <v>1.1909610543629801</v>
      </c>
      <c r="G270">
        <v>4.31937172774869</v>
      </c>
      <c r="H270" t="s">
        <v>67</v>
      </c>
      <c r="I270" t="s">
        <v>104</v>
      </c>
      <c r="J270" t="s">
        <v>105</v>
      </c>
      <c r="K270">
        <v>0</v>
      </c>
      <c r="L270">
        <v>1.23245129966013</v>
      </c>
    </row>
    <row r="271" spans="1:12">
      <c r="A271" t="str">
        <f t="shared" si="4"/>
        <v>S116H9</v>
      </c>
      <c r="B271">
        <v>9</v>
      </c>
      <c r="C271">
        <v>232</v>
      </c>
      <c r="D271">
        <v>326.54172367047801</v>
      </c>
      <c r="E271">
        <v>6937</v>
      </c>
      <c r="F271">
        <v>0.71047582340233295</v>
      </c>
      <c r="G271">
        <v>3.3443851809139402</v>
      </c>
      <c r="H271" t="s">
        <v>67</v>
      </c>
      <c r="I271" t="s">
        <v>106</v>
      </c>
      <c r="J271" t="s">
        <v>107</v>
      </c>
      <c r="K271">
        <v>0</v>
      </c>
      <c r="L271">
        <v>0.76067462023687005</v>
      </c>
    </row>
    <row r="272" spans="1:12">
      <c r="A272" t="str">
        <f t="shared" si="4"/>
        <v>S308H9</v>
      </c>
      <c r="B272">
        <v>9</v>
      </c>
      <c r="C272">
        <v>185</v>
      </c>
      <c r="D272">
        <v>189.906835255445</v>
      </c>
      <c r="E272">
        <v>7429</v>
      </c>
      <c r="F272">
        <v>0.97416188180459895</v>
      </c>
      <c r="G272">
        <v>2.4902409476376399</v>
      </c>
      <c r="H272" t="s">
        <v>67</v>
      </c>
      <c r="I272" t="s">
        <v>108</v>
      </c>
      <c r="J272" t="s">
        <v>109</v>
      </c>
      <c r="K272">
        <v>0</v>
      </c>
      <c r="L272">
        <v>0.85986192142153395</v>
      </c>
    </row>
    <row r="273" spans="1:12">
      <c r="A273" t="str">
        <f t="shared" si="4"/>
        <v>S314H9</v>
      </c>
      <c r="B273">
        <v>9</v>
      </c>
      <c r="C273">
        <v>393</v>
      </c>
      <c r="D273">
        <v>449.83210719066</v>
      </c>
      <c r="E273">
        <v>11583</v>
      </c>
      <c r="F273">
        <v>0.87365929136185105</v>
      </c>
      <c r="G273">
        <v>3.3929033929033898</v>
      </c>
      <c r="H273" t="s">
        <v>67</v>
      </c>
      <c r="I273" t="s">
        <v>110</v>
      </c>
      <c r="J273" t="s">
        <v>111</v>
      </c>
      <c r="K273">
        <v>0</v>
      </c>
      <c r="L273">
        <v>0.86089888671765602</v>
      </c>
    </row>
    <row r="274" spans="1:12">
      <c r="A274" t="str">
        <f t="shared" si="4"/>
        <v>T101H9</v>
      </c>
      <c r="B274">
        <v>9</v>
      </c>
      <c r="C274">
        <v>408</v>
      </c>
      <c r="D274">
        <v>419.027082670651</v>
      </c>
      <c r="E274">
        <v>12248</v>
      </c>
      <c r="F274">
        <v>0.97368408122842498</v>
      </c>
      <c r="G274">
        <v>3.3311561071195301</v>
      </c>
      <c r="H274" t="s">
        <v>67</v>
      </c>
      <c r="I274" t="s">
        <v>112</v>
      </c>
      <c r="J274" t="s">
        <v>113</v>
      </c>
      <c r="K274">
        <v>0</v>
      </c>
      <c r="L274">
        <v>0.91691753657432595</v>
      </c>
    </row>
    <row r="275" spans="1:12">
      <c r="A275" t="str">
        <f t="shared" si="4"/>
        <v>T202H9</v>
      </c>
      <c r="B275">
        <v>9</v>
      </c>
      <c r="C275">
        <v>146</v>
      </c>
      <c r="D275">
        <v>155.51027886578001</v>
      </c>
      <c r="E275">
        <v>3335</v>
      </c>
      <c r="F275">
        <v>0.93884469287082595</v>
      </c>
      <c r="G275">
        <v>4.3778110944527704</v>
      </c>
      <c r="H275" t="s">
        <v>67</v>
      </c>
      <c r="I275" t="s">
        <v>114</v>
      </c>
      <c r="J275" t="s">
        <v>115</v>
      </c>
      <c r="K275">
        <v>0</v>
      </c>
      <c r="L275">
        <v>0.89244145807722297</v>
      </c>
    </row>
    <row r="276" spans="1:12">
      <c r="A276" t="str">
        <f t="shared" si="4"/>
        <v>T312H9</v>
      </c>
      <c r="B276">
        <v>9</v>
      </c>
      <c r="C276">
        <v>1</v>
      </c>
      <c r="D276">
        <v>2.37088490183754</v>
      </c>
      <c r="E276">
        <v>1240</v>
      </c>
      <c r="F276">
        <v>0.42178344432703402</v>
      </c>
      <c r="G276">
        <v>8.0645161290322606E-2</v>
      </c>
      <c r="H276" t="s">
        <v>67</v>
      </c>
      <c r="I276" t="s">
        <v>116</v>
      </c>
      <c r="J276" t="s">
        <v>117</v>
      </c>
      <c r="K276">
        <v>0</v>
      </c>
      <c r="L276">
        <v>0.62819234318905504</v>
      </c>
    </row>
    <row r="277" spans="1:12">
      <c r="A277" t="str">
        <f t="shared" si="4"/>
        <v>V217H9</v>
      </c>
      <c r="B277">
        <v>9</v>
      </c>
      <c r="C277">
        <v>312</v>
      </c>
      <c r="D277">
        <v>287.06228610259598</v>
      </c>
      <c r="E277">
        <v>8060</v>
      </c>
      <c r="F277">
        <v>1.0868721357862099</v>
      </c>
      <c r="G277">
        <v>3.87096774193548</v>
      </c>
      <c r="H277" t="s">
        <v>67</v>
      </c>
      <c r="I277" t="s">
        <v>118</v>
      </c>
      <c r="J277" t="s">
        <v>119</v>
      </c>
      <c r="K277">
        <v>0</v>
      </c>
      <c r="L277">
        <v>0.97329027049884898</v>
      </c>
    </row>
    <row r="278" spans="1:12">
      <c r="A278" t="str">
        <f t="shared" si="4"/>
        <v>W107H9</v>
      </c>
      <c r="B278">
        <v>9</v>
      </c>
      <c r="C278">
        <v>20</v>
      </c>
      <c r="D278">
        <v>20.691964976777999</v>
      </c>
      <c r="E278">
        <v>968</v>
      </c>
      <c r="F278">
        <v>0.96655875952068504</v>
      </c>
      <c r="G278">
        <v>2.06611570247934</v>
      </c>
      <c r="H278" t="s">
        <v>67</v>
      </c>
      <c r="I278" t="s">
        <v>120</v>
      </c>
      <c r="J278" t="s">
        <v>121</v>
      </c>
      <c r="K278">
        <v>0</v>
      </c>
      <c r="L278">
        <v>1.2254367995431901</v>
      </c>
    </row>
    <row r="279" spans="1:12">
      <c r="A279" t="str">
        <f t="shared" si="4"/>
        <v>Z102H9</v>
      </c>
      <c r="B279">
        <v>9</v>
      </c>
      <c r="C279">
        <v>20</v>
      </c>
      <c r="D279">
        <v>28.973829783822499</v>
      </c>
      <c r="E279">
        <v>932</v>
      </c>
      <c r="F279">
        <v>0.69027809403253204</v>
      </c>
      <c r="G279">
        <v>2.1459227467811202</v>
      </c>
      <c r="H279" t="s">
        <v>67</v>
      </c>
      <c r="I279" t="s">
        <v>122</v>
      </c>
      <c r="J279" t="s">
        <v>123</v>
      </c>
      <c r="K279">
        <v>0</v>
      </c>
      <c r="L279">
        <v>1.02324738165569</v>
      </c>
    </row>
    <row r="280" spans="1:12">
      <c r="A280" t="str">
        <f t="shared" si="4"/>
        <v>A111H10</v>
      </c>
      <c r="B280">
        <v>10</v>
      </c>
      <c r="C280">
        <v>252</v>
      </c>
      <c r="D280">
        <v>307.76604942200299</v>
      </c>
      <c r="E280">
        <v>9241</v>
      </c>
      <c r="F280">
        <v>0.81880376498078999</v>
      </c>
      <c r="G280">
        <v>2.7269775998268599</v>
      </c>
      <c r="H280" t="s">
        <v>67</v>
      </c>
      <c r="I280" t="s">
        <v>68</v>
      </c>
      <c r="J280" t="s">
        <v>69</v>
      </c>
      <c r="K280">
        <v>0</v>
      </c>
      <c r="L280">
        <v>0.90954680117604003</v>
      </c>
    </row>
    <row r="281" spans="1:12">
      <c r="A281" t="str">
        <f t="shared" si="4"/>
        <v>A210H10</v>
      </c>
      <c r="B281">
        <v>10</v>
      </c>
      <c r="C281">
        <v>211</v>
      </c>
      <c r="D281">
        <v>230.043123328549</v>
      </c>
      <c r="E281">
        <v>6779</v>
      </c>
      <c r="F281">
        <v>0.91721933238859799</v>
      </c>
      <c r="G281">
        <v>3.1125534739637102</v>
      </c>
      <c r="H281" t="s">
        <v>67</v>
      </c>
      <c r="I281" t="s">
        <v>70</v>
      </c>
      <c r="J281" t="s">
        <v>71</v>
      </c>
      <c r="K281">
        <v>0</v>
      </c>
      <c r="L281">
        <v>0.96821973745572898</v>
      </c>
    </row>
    <row r="282" spans="1:12">
      <c r="A282" t="str">
        <f t="shared" si="4"/>
        <v>B120H10</v>
      </c>
      <c r="B282">
        <v>10</v>
      </c>
      <c r="C282">
        <v>128</v>
      </c>
      <c r="D282">
        <v>139.48448678601599</v>
      </c>
      <c r="E282">
        <v>4384</v>
      </c>
      <c r="F282">
        <v>0.91766477369175603</v>
      </c>
      <c r="G282">
        <v>2.9197080291970798</v>
      </c>
      <c r="H282" t="s">
        <v>67</v>
      </c>
      <c r="I282" t="s">
        <v>72</v>
      </c>
      <c r="J282" t="s">
        <v>73</v>
      </c>
      <c r="K282">
        <v>0</v>
      </c>
      <c r="L282">
        <v>0.93471539957397198</v>
      </c>
    </row>
    <row r="283" spans="1:12">
      <c r="A283" t="str">
        <f t="shared" si="4"/>
        <v>C121H10</v>
      </c>
      <c r="B283">
        <v>10</v>
      </c>
      <c r="C283">
        <v>16</v>
      </c>
      <c r="D283">
        <v>18.0051149499219</v>
      </c>
      <c r="E283">
        <v>779</v>
      </c>
      <c r="F283">
        <v>0.88863637052588795</v>
      </c>
      <c r="G283">
        <v>2.05391527599487</v>
      </c>
      <c r="H283" t="s">
        <v>67</v>
      </c>
      <c r="I283" t="s">
        <v>74</v>
      </c>
      <c r="J283" t="s">
        <v>75</v>
      </c>
      <c r="K283">
        <v>0</v>
      </c>
      <c r="L283">
        <v>1.0934689257222301</v>
      </c>
    </row>
    <row r="284" spans="1:12">
      <c r="A284" t="str">
        <f t="shared" si="4"/>
        <v>C313H10</v>
      </c>
      <c r="B284">
        <v>10</v>
      </c>
      <c r="C284">
        <v>124</v>
      </c>
      <c r="D284">
        <v>119.559150239753</v>
      </c>
      <c r="E284">
        <v>4696</v>
      </c>
      <c r="F284">
        <v>1.0371435373314499</v>
      </c>
      <c r="G284">
        <v>2.64054514480409</v>
      </c>
      <c r="H284" t="s">
        <v>67</v>
      </c>
      <c r="I284" t="s">
        <v>76</v>
      </c>
      <c r="J284" t="s">
        <v>77</v>
      </c>
      <c r="K284">
        <v>0</v>
      </c>
      <c r="L284">
        <v>1.1238163888074799</v>
      </c>
    </row>
    <row r="285" spans="1:12">
      <c r="A285" t="str">
        <f t="shared" si="4"/>
        <v>C418H10</v>
      </c>
      <c r="B285">
        <v>10</v>
      </c>
      <c r="C285">
        <v>279</v>
      </c>
      <c r="D285">
        <v>256.04960252165102</v>
      </c>
      <c r="E285">
        <v>9567</v>
      </c>
      <c r="F285">
        <v>1.0896326229461999</v>
      </c>
      <c r="G285">
        <v>2.9162746942615199</v>
      </c>
      <c r="H285" t="s">
        <v>67</v>
      </c>
      <c r="I285" t="s">
        <v>78</v>
      </c>
      <c r="J285" t="s">
        <v>79</v>
      </c>
      <c r="K285">
        <v>0</v>
      </c>
      <c r="L285">
        <v>1.0790052841872</v>
      </c>
    </row>
    <row r="286" spans="1:12">
      <c r="A286" t="str">
        <f t="shared" si="4"/>
        <v>D102H10</v>
      </c>
      <c r="B286">
        <v>10</v>
      </c>
      <c r="C286">
        <v>25</v>
      </c>
      <c r="D286">
        <v>33.996307492108002</v>
      </c>
      <c r="E286">
        <v>3436</v>
      </c>
      <c r="F286">
        <v>0.73537398159501899</v>
      </c>
      <c r="G286">
        <v>0.727590221187427</v>
      </c>
      <c r="H286" t="s">
        <v>67</v>
      </c>
      <c r="I286" t="s">
        <v>80</v>
      </c>
      <c r="J286" t="s">
        <v>81</v>
      </c>
      <c r="K286">
        <v>0</v>
      </c>
      <c r="L286">
        <v>0.81484672133748004</v>
      </c>
    </row>
    <row r="287" spans="1:12">
      <c r="A287" t="str">
        <f t="shared" si="4"/>
        <v>F704H10</v>
      </c>
      <c r="B287">
        <v>10</v>
      </c>
      <c r="C287">
        <v>347</v>
      </c>
      <c r="D287">
        <v>391.316592261707</v>
      </c>
      <c r="E287">
        <v>8497</v>
      </c>
      <c r="F287">
        <v>0.88675003018510201</v>
      </c>
      <c r="G287">
        <v>4.0837942803342404</v>
      </c>
      <c r="H287" t="s">
        <v>67</v>
      </c>
      <c r="I287" t="s">
        <v>82</v>
      </c>
      <c r="J287" t="s">
        <v>83</v>
      </c>
      <c r="K287">
        <v>0</v>
      </c>
      <c r="L287">
        <v>0.90598389158084702</v>
      </c>
    </row>
    <row r="288" spans="1:12">
      <c r="A288" t="str">
        <f t="shared" si="4"/>
        <v>G107H10</v>
      </c>
      <c r="B288">
        <v>10</v>
      </c>
      <c r="C288">
        <v>338</v>
      </c>
      <c r="D288">
        <v>334.14556118710999</v>
      </c>
      <c r="E288">
        <v>12607</v>
      </c>
      <c r="F288">
        <v>1.01153520878505</v>
      </c>
      <c r="G288">
        <v>2.6810502102006799</v>
      </c>
      <c r="H288" t="s">
        <v>67</v>
      </c>
      <c r="I288" t="s">
        <v>84</v>
      </c>
      <c r="J288" t="s">
        <v>85</v>
      </c>
      <c r="K288">
        <v>0</v>
      </c>
      <c r="L288">
        <v>0.96528387905070401</v>
      </c>
    </row>
    <row r="289" spans="1:12">
      <c r="A289" t="str">
        <f t="shared" si="4"/>
        <v>G405H10</v>
      </c>
      <c r="B289">
        <v>10</v>
      </c>
      <c r="C289">
        <v>144</v>
      </c>
      <c r="D289">
        <v>171.93140572006899</v>
      </c>
      <c r="E289">
        <v>6104</v>
      </c>
      <c r="F289">
        <v>0.83754331791164505</v>
      </c>
      <c r="G289">
        <v>2.3591087811271301</v>
      </c>
      <c r="H289" t="s">
        <v>67</v>
      </c>
      <c r="I289" t="s">
        <v>86</v>
      </c>
      <c r="J289" t="s">
        <v>87</v>
      </c>
      <c r="K289">
        <v>0</v>
      </c>
      <c r="L289">
        <v>0.89545680269219396</v>
      </c>
    </row>
    <row r="290" spans="1:12">
      <c r="A290" t="str">
        <f t="shared" si="4"/>
        <v>H103H10</v>
      </c>
      <c r="B290">
        <v>10</v>
      </c>
      <c r="C290">
        <v>32</v>
      </c>
      <c r="D290">
        <v>31.941330941314799</v>
      </c>
      <c r="E290">
        <v>862</v>
      </c>
      <c r="F290">
        <v>1.00183677564323</v>
      </c>
      <c r="G290">
        <v>3.7122969837587001</v>
      </c>
      <c r="H290" t="s">
        <v>67</v>
      </c>
      <c r="I290" t="s">
        <v>88</v>
      </c>
      <c r="J290" t="s">
        <v>89</v>
      </c>
      <c r="K290">
        <v>0</v>
      </c>
      <c r="L290">
        <v>0.99523299389320197</v>
      </c>
    </row>
    <row r="291" spans="1:12">
      <c r="A291" t="str">
        <f t="shared" si="4"/>
        <v>H202H10</v>
      </c>
      <c r="B291">
        <v>10</v>
      </c>
      <c r="C291">
        <v>147</v>
      </c>
      <c r="D291">
        <v>177.291586915256</v>
      </c>
      <c r="E291">
        <v>7399</v>
      </c>
      <c r="F291">
        <v>0.82914255863852504</v>
      </c>
      <c r="G291">
        <v>1.98675496688742</v>
      </c>
      <c r="H291" t="s">
        <v>67</v>
      </c>
      <c r="I291" t="s">
        <v>90</v>
      </c>
      <c r="J291" t="s">
        <v>91</v>
      </c>
      <c r="K291">
        <v>0</v>
      </c>
      <c r="L291">
        <v>0.78892054618645102</v>
      </c>
    </row>
    <row r="292" spans="1:12">
      <c r="A292" t="str">
        <f t="shared" si="4"/>
        <v>H212H10</v>
      </c>
      <c r="B292">
        <v>10</v>
      </c>
      <c r="C292">
        <v>17</v>
      </c>
      <c r="D292">
        <v>16.258195043307602</v>
      </c>
      <c r="E292">
        <v>447</v>
      </c>
      <c r="F292">
        <v>1.04562652586689</v>
      </c>
      <c r="G292">
        <v>3.8031319910514498</v>
      </c>
      <c r="H292" t="s">
        <v>67</v>
      </c>
      <c r="I292" t="s">
        <v>92</v>
      </c>
      <c r="J292" t="s">
        <v>93</v>
      </c>
      <c r="K292">
        <v>0</v>
      </c>
      <c r="L292">
        <v>1.09619686599983</v>
      </c>
    </row>
    <row r="293" spans="1:12">
      <c r="A293" t="str">
        <f t="shared" si="4"/>
        <v>L106H10</v>
      </c>
      <c r="B293">
        <v>10</v>
      </c>
      <c r="C293">
        <v>248</v>
      </c>
      <c r="D293">
        <v>266.26765136272797</v>
      </c>
      <c r="E293">
        <v>7791</v>
      </c>
      <c r="F293">
        <v>0.93139365120308104</v>
      </c>
      <c r="G293">
        <v>3.1831600564754199</v>
      </c>
      <c r="H293" t="s">
        <v>67</v>
      </c>
      <c r="I293" t="s">
        <v>94</v>
      </c>
      <c r="J293" t="s">
        <v>95</v>
      </c>
      <c r="K293">
        <v>0</v>
      </c>
      <c r="L293">
        <v>0.95517336539513797</v>
      </c>
    </row>
    <row r="294" spans="1:12">
      <c r="A294" t="str">
        <f t="shared" si="4"/>
        <v>L302H10</v>
      </c>
      <c r="B294">
        <v>10</v>
      </c>
      <c r="C294">
        <v>208</v>
      </c>
      <c r="D294">
        <v>238.46633923403701</v>
      </c>
      <c r="E294">
        <v>7151</v>
      </c>
      <c r="F294">
        <v>0.87224050433324996</v>
      </c>
      <c r="G294">
        <v>2.9086841001258601</v>
      </c>
      <c r="H294" t="s">
        <v>67</v>
      </c>
      <c r="I294" t="s">
        <v>96</v>
      </c>
      <c r="J294" t="s">
        <v>97</v>
      </c>
      <c r="K294">
        <v>0</v>
      </c>
      <c r="L294">
        <v>0.93275514338961096</v>
      </c>
    </row>
    <row r="295" spans="1:12">
      <c r="A295" t="str">
        <f t="shared" si="4"/>
        <v>L308H10</v>
      </c>
      <c r="B295">
        <v>10</v>
      </c>
      <c r="C295">
        <v>245</v>
      </c>
      <c r="D295">
        <v>242.850771677333</v>
      </c>
      <c r="E295">
        <v>9635</v>
      </c>
      <c r="F295">
        <v>1.0088499958547501</v>
      </c>
      <c r="G295">
        <v>2.54281266216918</v>
      </c>
      <c r="H295" t="s">
        <v>67</v>
      </c>
      <c r="I295" t="s">
        <v>98</v>
      </c>
      <c r="J295" t="s">
        <v>99</v>
      </c>
      <c r="K295">
        <v>0</v>
      </c>
      <c r="L295">
        <v>1.0828731278539101</v>
      </c>
    </row>
    <row r="296" spans="1:12">
      <c r="A296" t="str">
        <f t="shared" si="4"/>
        <v>N101H10</v>
      </c>
      <c r="B296">
        <v>10</v>
      </c>
      <c r="C296">
        <v>423</v>
      </c>
      <c r="D296">
        <v>448.41912536667598</v>
      </c>
      <c r="E296">
        <v>15795</v>
      </c>
      <c r="F296">
        <v>0.94331391341551196</v>
      </c>
      <c r="G296">
        <v>2.6780626780626799</v>
      </c>
      <c r="H296" t="s">
        <v>67</v>
      </c>
      <c r="I296" t="s">
        <v>100</v>
      </c>
      <c r="J296" t="s">
        <v>101</v>
      </c>
      <c r="K296">
        <v>0</v>
      </c>
      <c r="L296">
        <v>0.91059845829660402</v>
      </c>
    </row>
    <row r="297" spans="1:12">
      <c r="A297" t="str">
        <f t="shared" si="4"/>
        <v>N411H10</v>
      </c>
      <c r="B297">
        <v>10</v>
      </c>
      <c r="C297">
        <v>63</v>
      </c>
      <c r="D297">
        <v>69.535503505403696</v>
      </c>
      <c r="E297">
        <v>3129</v>
      </c>
      <c r="F297">
        <v>0.90601199134344601</v>
      </c>
      <c r="G297">
        <v>2.0134228187919501</v>
      </c>
      <c r="H297" t="s">
        <v>67</v>
      </c>
      <c r="I297" t="s">
        <v>102</v>
      </c>
      <c r="J297" t="s">
        <v>103</v>
      </c>
      <c r="K297">
        <v>0</v>
      </c>
      <c r="L297">
        <v>1.06348529777532</v>
      </c>
    </row>
    <row r="298" spans="1:12">
      <c r="A298" t="str">
        <f t="shared" si="4"/>
        <v>R101H10</v>
      </c>
      <c r="B298">
        <v>10</v>
      </c>
      <c r="C298">
        <v>36</v>
      </c>
      <c r="D298">
        <v>24.338165619139499</v>
      </c>
      <c r="E298">
        <v>765</v>
      </c>
      <c r="F298">
        <v>1.4791583130525501</v>
      </c>
      <c r="G298">
        <v>4.7058823529411802</v>
      </c>
      <c r="H298" t="s">
        <v>67</v>
      </c>
      <c r="I298" t="s">
        <v>104</v>
      </c>
      <c r="J298" t="s">
        <v>105</v>
      </c>
      <c r="K298">
        <v>0</v>
      </c>
      <c r="L298">
        <v>1.23245129966013</v>
      </c>
    </row>
    <row r="299" spans="1:12">
      <c r="A299" t="str">
        <f t="shared" si="4"/>
        <v>S116H10</v>
      </c>
      <c r="B299">
        <v>10</v>
      </c>
      <c r="C299">
        <v>246</v>
      </c>
      <c r="D299">
        <v>304.73079052885799</v>
      </c>
      <c r="E299">
        <v>7008</v>
      </c>
      <c r="F299">
        <v>0.80726991707358697</v>
      </c>
      <c r="G299">
        <v>3.5102739726027399</v>
      </c>
      <c r="H299" t="s">
        <v>67</v>
      </c>
      <c r="I299" t="s">
        <v>106</v>
      </c>
      <c r="J299" t="s">
        <v>107</v>
      </c>
      <c r="K299">
        <v>0</v>
      </c>
      <c r="L299">
        <v>0.76067462023687005</v>
      </c>
    </row>
    <row r="300" spans="1:12">
      <c r="A300" t="str">
        <f t="shared" si="4"/>
        <v>S308H10</v>
      </c>
      <c r="B300">
        <v>10</v>
      </c>
      <c r="C300">
        <v>153</v>
      </c>
      <c r="D300">
        <v>180.458786831156</v>
      </c>
      <c r="E300">
        <v>7238</v>
      </c>
      <c r="F300">
        <v>0.84783901458427102</v>
      </c>
      <c r="G300">
        <v>2.1138436032053098</v>
      </c>
      <c r="H300" t="s">
        <v>67</v>
      </c>
      <c r="I300" t="s">
        <v>108</v>
      </c>
      <c r="J300" t="s">
        <v>109</v>
      </c>
      <c r="K300">
        <v>0</v>
      </c>
      <c r="L300">
        <v>0.85986192142153395</v>
      </c>
    </row>
    <row r="301" spans="1:12">
      <c r="A301" t="str">
        <f t="shared" si="4"/>
        <v>S314H10</v>
      </c>
      <c r="B301">
        <v>10</v>
      </c>
      <c r="C301">
        <v>356</v>
      </c>
      <c r="D301">
        <v>433.39912513519698</v>
      </c>
      <c r="E301">
        <v>11849</v>
      </c>
      <c r="F301">
        <v>0.82141374856017002</v>
      </c>
      <c r="G301">
        <v>3.0044729513039101</v>
      </c>
      <c r="H301" t="s">
        <v>67</v>
      </c>
      <c r="I301" t="s">
        <v>110</v>
      </c>
      <c r="J301" t="s">
        <v>111</v>
      </c>
      <c r="K301">
        <v>0</v>
      </c>
      <c r="L301">
        <v>0.86089888671765602</v>
      </c>
    </row>
    <row r="302" spans="1:12">
      <c r="A302" t="str">
        <f t="shared" si="4"/>
        <v>T101H10</v>
      </c>
      <c r="B302">
        <v>10</v>
      </c>
      <c r="C302">
        <v>328</v>
      </c>
      <c r="D302">
        <v>417.30849995687902</v>
      </c>
      <c r="E302">
        <v>12058</v>
      </c>
      <c r="F302">
        <v>0.78598926222181498</v>
      </c>
      <c r="G302">
        <v>2.7201857687842099</v>
      </c>
      <c r="H302" t="s">
        <v>67</v>
      </c>
      <c r="I302" t="s">
        <v>112</v>
      </c>
      <c r="J302" t="s">
        <v>113</v>
      </c>
      <c r="K302">
        <v>0</v>
      </c>
      <c r="L302">
        <v>0.91691753657432595</v>
      </c>
    </row>
    <row r="303" spans="1:12">
      <c r="A303" t="str">
        <f t="shared" si="4"/>
        <v>T202H10</v>
      </c>
      <c r="B303">
        <v>10</v>
      </c>
      <c r="C303">
        <v>132</v>
      </c>
      <c r="D303">
        <v>152.18591125260701</v>
      </c>
      <c r="E303">
        <v>3218</v>
      </c>
      <c r="F303">
        <v>0.86736018409022797</v>
      </c>
      <c r="G303">
        <v>4.1019266625233097</v>
      </c>
      <c r="H303" t="s">
        <v>67</v>
      </c>
      <c r="I303" t="s">
        <v>114</v>
      </c>
      <c r="J303" t="s">
        <v>115</v>
      </c>
      <c r="K303">
        <v>0</v>
      </c>
      <c r="L303">
        <v>0.89244145807722297</v>
      </c>
    </row>
    <row r="304" spans="1:12">
      <c r="A304" t="str">
        <f t="shared" si="4"/>
        <v>T312H10</v>
      </c>
      <c r="B304">
        <v>10</v>
      </c>
      <c r="C304">
        <v>3</v>
      </c>
      <c r="D304">
        <v>1.9999842565377499</v>
      </c>
      <c r="E304">
        <v>1226</v>
      </c>
      <c r="F304">
        <v>1.5000118076896301</v>
      </c>
      <c r="G304">
        <v>0.24469820554649299</v>
      </c>
      <c r="H304" t="s">
        <v>67</v>
      </c>
      <c r="I304" t="s">
        <v>116</v>
      </c>
      <c r="J304" t="s">
        <v>117</v>
      </c>
      <c r="K304">
        <v>0</v>
      </c>
      <c r="L304">
        <v>0.62819234318905504</v>
      </c>
    </row>
    <row r="305" spans="1:12">
      <c r="A305" t="str">
        <f t="shared" si="4"/>
        <v>V217H10</v>
      </c>
      <c r="B305">
        <v>10</v>
      </c>
      <c r="C305">
        <v>327</v>
      </c>
      <c r="D305">
        <v>288.35205943631502</v>
      </c>
      <c r="E305">
        <v>8188</v>
      </c>
      <c r="F305">
        <v>1.1340303954798701</v>
      </c>
      <c r="G305">
        <v>3.99364924279433</v>
      </c>
      <c r="H305" t="s">
        <v>67</v>
      </c>
      <c r="I305" t="s">
        <v>118</v>
      </c>
      <c r="J305" t="s">
        <v>119</v>
      </c>
      <c r="K305">
        <v>0</v>
      </c>
      <c r="L305">
        <v>0.97329027049884898</v>
      </c>
    </row>
    <row r="306" spans="1:12">
      <c r="A306" t="str">
        <f t="shared" si="4"/>
        <v>W107H10</v>
      </c>
      <c r="B306">
        <v>10</v>
      </c>
      <c r="C306">
        <v>11</v>
      </c>
      <c r="D306">
        <v>17.868118018738699</v>
      </c>
      <c r="E306">
        <v>979</v>
      </c>
      <c r="F306">
        <v>0.61562163337314202</v>
      </c>
      <c r="G306">
        <v>1.1235955056179801</v>
      </c>
      <c r="H306" t="s">
        <v>67</v>
      </c>
      <c r="I306" t="s">
        <v>120</v>
      </c>
      <c r="J306" t="s">
        <v>121</v>
      </c>
      <c r="K306">
        <v>0</v>
      </c>
      <c r="L306">
        <v>1.2254367995431901</v>
      </c>
    </row>
    <row r="307" spans="1:12">
      <c r="A307" t="str">
        <f t="shared" si="4"/>
        <v>Z102H10</v>
      </c>
      <c r="B307">
        <v>10</v>
      </c>
      <c r="C307">
        <v>25</v>
      </c>
      <c r="D307">
        <v>20.336451758275398</v>
      </c>
      <c r="E307">
        <v>916</v>
      </c>
      <c r="F307">
        <v>1.22931966191334</v>
      </c>
      <c r="G307">
        <v>2.7292576419214001</v>
      </c>
      <c r="H307" t="s">
        <v>67</v>
      </c>
      <c r="I307" t="s">
        <v>122</v>
      </c>
      <c r="J307" t="s">
        <v>123</v>
      </c>
      <c r="K307">
        <v>0</v>
      </c>
      <c r="L307">
        <v>1.02324738165569</v>
      </c>
    </row>
    <row r="308" spans="1:12">
      <c r="A308" t="str">
        <f t="shared" si="4"/>
        <v>A111H11</v>
      </c>
      <c r="B308">
        <v>11</v>
      </c>
      <c r="C308">
        <v>258</v>
      </c>
      <c r="D308">
        <v>288.91683166260901</v>
      </c>
      <c r="E308">
        <v>9197</v>
      </c>
      <c r="F308">
        <v>0.89299054857865301</v>
      </c>
      <c r="G308">
        <v>2.80526258562575</v>
      </c>
      <c r="H308" t="s">
        <v>67</v>
      </c>
      <c r="I308" t="s">
        <v>68</v>
      </c>
      <c r="J308" t="s">
        <v>69</v>
      </c>
      <c r="K308">
        <v>0</v>
      </c>
      <c r="L308">
        <v>0.90954680117604003</v>
      </c>
    </row>
    <row r="309" spans="1:12">
      <c r="A309" t="str">
        <f t="shared" si="4"/>
        <v>A210H11</v>
      </c>
      <c r="B309">
        <v>11</v>
      </c>
      <c r="C309">
        <v>195</v>
      </c>
      <c r="D309">
        <v>207.131150249255</v>
      </c>
      <c r="E309">
        <v>6973</v>
      </c>
      <c r="F309">
        <v>0.94143251638077396</v>
      </c>
      <c r="G309">
        <v>2.7965007887566302</v>
      </c>
      <c r="H309" t="s">
        <v>67</v>
      </c>
      <c r="I309" t="s">
        <v>70</v>
      </c>
      <c r="J309" t="s">
        <v>71</v>
      </c>
      <c r="K309">
        <v>0</v>
      </c>
      <c r="L309">
        <v>0.96821973745572898</v>
      </c>
    </row>
    <row r="310" spans="1:12">
      <c r="A310" t="str">
        <f t="shared" si="4"/>
        <v>B120H11</v>
      </c>
      <c r="B310">
        <v>11</v>
      </c>
      <c r="C310">
        <v>127</v>
      </c>
      <c r="D310">
        <v>142.024658025663</v>
      </c>
      <c r="E310">
        <v>4413</v>
      </c>
      <c r="F310">
        <v>0.89421091918455198</v>
      </c>
      <c r="G310">
        <v>2.8778608656242901</v>
      </c>
      <c r="H310" t="s">
        <v>67</v>
      </c>
      <c r="I310" t="s">
        <v>72</v>
      </c>
      <c r="J310" t="s">
        <v>73</v>
      </c>
      <c r="K310">
        <v>0</v>
      </c>
      <c r="L310">
        <v>0.93471539957397198</v>
      </c>
    </row>
    <row r="311" spans="1:12">
      <c r="A311" t="str">
        <f t="shared" si="4"/>
        <v>C121H11</v>
      </c>
      <c r="B311">
        <v>11</v>
      </c>
      <c r="C311">
        <v>30</v>
      </c>
      <c r="D311">
        <v>26.3149371612135</v>
      </c>
      <c r="E311">
        <v>824</v>
      </c>
      <c r="F311">
        <v>1.1400369233720999</v>
      </c>
      <c r="G311">
        <v>3.6407766990291299</v>
      </c>
      <c r="H311" t="s">
        <v>67</v>
      </c>
      <c r="I311" t="s">
        <v>74</v>
      </c>
      <c r="J311" t="s">
        <v>75</v>
      </c>
      <c r="K311">
        <v>0</v>
      </c>
      <c r="L311">
        <v>1.0934689257222301</v>
      </c>
    </row>
    <row r="312" spans="1:12">
      <c r="A312" t="str">
        <f t="shared" si="4"/>
        <v>C313H11</v>
      </c>
      <c r="B312">
        <v>11</v>
      </c>
      <c r="C312">
        <v>121</v>
      </c>
      <c r="D312">
        <v>112.98667858496</v>
      </c>
      <c r="E312">
        <v>4803</v>
      </c>
      <c r="F312">
        <v>1.07092270978666</v>
      </c>
      <c r="G312">
        <v>2.5192587965854698</v>
      </c>
      <c r="H312" t="s">
        <v>67</v>
      </c>
      <c r="I312" t="s">
        <v>76</v>
      </c>
      <c r="J312" t="s">
        <v>77</v>
      </c>
      <c r="K312">
        <v>0</v>
      </c>
      <c r="L312">
        <v>1.1238163888074799</v>
      </c>
    </row>
    <row r="313" spans="1:12">
      <c r="A313" t="str">
        <f t="shared" si="4"/>
        <v>C418H11</v>
      </c>
      <c r="B313">
        <v>11</v>
      </c>
      <c r="C313">
        <v>233</v>
      </c>
      <c r="D313">
        <v>234.061617302933</v>
      </c>
      <c r="E313">
        <v>9526</v>
      </c>
      <c r="F313">
        <v>0.99546436824983897</v>
      </c>
      <c r="G313">
        <v>2.4459374343900899</v>
      </c>
      <c r="H313" t="s">
        <v>67</v>
      </c>
      <c r="I313" t="s">
        <v>78</v>
      </c>
      <c r="J313" t="s">
        <v>79</v>
      </c>
      <c r="K313">
        <v>0</v>
      </c>
      <c r="L313">
        <v>1.0790052841872</v>
      </c>
    </row>
    <row r="314" spans="1:12">
      <c r="A314" t="str">
        <f t="shared" si="4"/>
        <v>D102H11</v>
      </c>
      <c r="B314">
        <v>11</v>
      </c>
      <c r="C314">
        <v>22</v>
      </c>
      <c r="D314">
        <v>28.999550827259998</v>
      </c>
      <c r="E314">
        <v>3319</v>
      </c>
      <c r="F314">
        <v>0.75863243989695495</v>
      </c>
      <c r="G314">
        <v>0.66285025610123505</v>
      </c>
      <c r="H314" t="s">
        <v>67</v>
      </c>
      <c r="I314" t="s">
        <v>80</v>
      </c>
      <c r="J314" t="s">
        <v>81</v>
      </c>
      <c r="K314">
        <v>0</v>
      </c>
      <c r="L314">
        <v>0.81484672133748004</v>
      </c>
    </row>
    <row r="315" spans="1:12">
      <c r="A315" t="str">
        <f t="shared" si="4"/>
        <v>F704H11</v>
      </c>
      <c r="B315">
        <v>11</v>
      </c>
      <c r="C315">
        <v>323</v>
      </c>
      <c r="D315">
        <v>369.59975475280402</v>
      </c>
      <c r="E315">
        <v>8293</v>
      </c>
      <c r="F315">
        <v>0.87391832880416598</v>
      </c>
      <c r="G315">
        <v>3.8948510792234399</v>
      </c>
      <c r="H315" t="s">
        <v>67</v>
      </c>
      <c r="I315" t="s">
        <v>82</v>
      </c>
      <c r="J315" t="s">
        <v>83</v>
      </c>
      <c r="K315">
        <v>0</v>
      </c>
      <c r="L315">
        <v>0.90598389158084702</v>
      </c>
    </row>
    <row r="316" spans="1:12">
      <c r="A316" t="str">
        <f t="shared" si="4"/>
        <v>G107H11</v>
      </c>
      <c r="B316">
        <v>11</v>
      </c>
      <c r="C316">
        <v>334</v>
      </c>
      <c r="D316">
        <v>367.738756187918</v>
      </c>
      <c r="E316">
        <v>13581</v>
      </c>
      <c r="F316">
        <v>0.90825346629856696</v>
      </c>
      <c r="G316">
        <v>2.45931816508357</v>
      </c>
      <c r="H316" t="s">
        <v>67</v>
      </c>
      <c r="I316" t="s">
        <v>84</v>
      </c>
      <c r="J316" t="s">
        <v>85</v>
      </c>
      <c r="K316">
        <v>0</v>
      </c>
      <c r="L316">
        <v>0.96528387905070401</v>
      </c>
    </row>
    <row r="317" spans="1:12">
      <c r="A317" t="str">
        <f t="shared" si="4"/>
        <v>G405H11</v>
      </c>
      <c r="B317">
        <v>11</v>
      </c>
      <c r="C317">
        <v>162</v>
      </c>
      <c r="D317">
        <v>173.11822986581001</v>
      </c>
      <c r="E317">
        <v>6256</v>
      </c>
      <c r="F317">
        <v>0.93577666618687105</v>
      </c>
      <c r="G317">
        <v>2.58951406649616</v>
      </c>
      <c r="H317" t="s">
        <v>67</v>
      </c>
      <c r="I317" t="s">
        <v>86</v>
      </c>
      <c r="J317" t="s">
        <v>87</v>
      </c>
      <c r="K317">
        <v>0</v>
      </c>
      <c r="L317">
        <v>0.89545680269219396</v>
      </c>
    </row>
    <row r="318" spans="1:12">
      <c r="A318" t="str">
        <f t="shared" si="4"/>
        <v>H103H11</v>
      </c>
      <c r="B318">
        <v>11</v>
      </c>
      <c r="C318">
        <v>33</v>
      </c>
      <c r="D318">
        <v>29.822841382192198</v>
      </c>
      <c r="E318">
        <v>842</v>
      </c>
      <c r="F318">
        <v>1.10653440351612</v>
      </c>
      <c r="G318">
        <v>3.9192399049881201</v>
      </c>
      <c r="H318" t="s">
        <v>67</v>
      </c>
      <c r="I318" t="s">
        <v>88</v>
      </c>
      <c r="J318" t="s">
        <v>89</v>
      </c>
      <c r="K318">
        <v>0</v>
      </c>
      <c r="L318">
        <v>0.99523299389320197</v>
      </c>
    </row>
    <row r="319" spans="1:12">
      <c r="A319" t="str">
        <f t="shared" si="4"/>
        <v>H202H11</v>
      </c>
      <c r="B319">
        <v>11</v>
      </c>
      <c r="C319">
        <v>143</v>
      </c>
      <c r="D319">
        <v>192.59319033133099</v>
      </c>
      <c r="E319">
        <v>7322</v>
      </c>
      <c r="F319">
        <v>0.74249769555189105</v>
      </c>
      <c r="G319">
        <v>1.9530183010106501</v>
      </c>
      <c r="H319" t="s">
        <v>67</v>
      </c>
      <c r="I319" t="s">
        <v>90</v>
      </c>
      <c r="J319" t="s">
        <v>91</v>
      </c>
      <c r="K319">
        <v>0</v>
      </c>
      <c r="L319">
        <v>0.78892054618645102</v>
      </c>
    </row>
    <row r="320" spans="1:12">
      <c r="A320" t="str">
        <f t="shared" ref="A320:A383" si="5">CONCATENATE(I320, B320)</f>
        <v>H212H11</v>
      </c>
      <c r="B320">
        <v>11</v>
      </c>
      <c r="C320">
        <v>17</v>
      </c>
      <c r="D320">
        <v>17.032339597095302</v>
      </c>
      <c r="E320">
        <v>491</v>
      </c>
      <c r="F320">
        <v>0.99810128274445398</v>
      </c>
      <c r="G320">
        <v>3.4623217922606901</v>
      </c>
      <c r="H320" t="s">
        <v>67</v>
      </c>
      <c r="I320" t="s">
        <v>92</v>
      </c>
      <c r="J320" t="s">
        <v>93</v>
      </c>
      <c r="K320">
        <v>0</v>
      </c>
      <c r="L320">
        <v>1.09619686599983</v>
      </c>
    </row>
    <row r="321" spans="1:12">
      <c r="A321" t="str">
        <f t="shared" si="5"/>
        <v>L106H11</v>
      </c>
      <c r="B321">
        <v>11</v>
      </c>
      <c r="C321">
        <v>195</v>
      </c>
      <c r="D321">
        <v>248.996022491991</v>
      </c>
      <c r="E321">
        <v>7366</v>
      </c>
      <c r="F321">
        <v>0.78314504002276797</v>
      </c>
      <c r="G321">
        <v>2.6472983980450699</v>
      </c>
      <c r="H321" t="s">
        <v>67</v>
      </c>
      <c r="I321" t="s">
        <v>94</v>
      </c>
      <c r="J321" t="s">
        <v>95</v>
      </c>
      <c r="K321">
        <v>0</v>
      </c>
      <c r="L321">
        <v>0.95517336539513797</v>
      </c>
    </row>
    <row r="322" spans="1:12">
      <c r="A322" t="str">
        <f t="shared" si="5"/>
        <v>L302H11</v>
      </c>
      <c r="B322">
        <v>11</v>
      </c>
      <c r="C322">
        <v>164</v>
      </c>
      <c r="D322">
        <v>235.401217462457</v>
      </c>
      <c r="E322">
        <v>7154</v>
      </c>
      <c r="F322">
        <v>0.69668288791308097</v>
      </c>
      <c r="G322">
        <v>2.29242381884261</v>
      </c>
      <c r="H322" t="s">
        <v>67</v>
      </c>
      <c r="I322" t="s">
        <v>96</v>
      </c>
      <c r="J322" t="s">
        <v>97</v>
      </c>
      <c r="K322">
        <v>0</v>
      </c>
      <c r="L322">
        <v>0.93275514338961096</v>
      </c>
    </row>
    <row r="323" spans="1:12">
      <c r="A323" t="str">
        <f t="shared" si="5"/>
        <v>L308H11</v>
      </c>
      <c r="B323">
        <v>11</v>
      </c>
      <c r="C323">
        <v>260</v>
      </c>
      <c r="D323">
        <v>246.350397737919</v>
      </c>
      <c r="E323">
        <v>9365</v>
      </c>
      <c r="F323">
        <v>1.05540726699618</v>
      </c>
      <c r="G323">
        <v>2.77629471436199</v>
      </c>
      <c r="H323" t="s">
        <v>67</v>
      </c>
      <c r="I323" t="s">
        <v>98</v>
      </c>
      <c r="J323" t="s">
        <v>99</v>
      </c>
      <c r="K323">
        <v>0</v>
      </c>
      <c r="L323">
        <v>1.0828731278539101</v>
      </c>
    </row>
    <row r="324" spans="1:12">
      <c r="A324" t="str">
        <f t="shared" si="5"/>
        <v>N101H11</v>
      </c>
      <c r="B324">
        <v>11</v>
      </c>
      <c r="C324">
        <v>408</v>
      </c>
      <c r="D324">
        <v>440.90543907569401</v>
      </c>
      <c r="E324">
        <v>14914</v>
      </c>
      <c r="F324">
        <v>0.92536848911486302</v>
      </c>
      <c r="G324">
        <v>2.7356845916588401</v>
      </c>
      <c r="H324" t="s">
        <v>67</v>
      </c>
      <c r="I324" t="s">
        <v>100</v>
      </c>
      <c r="J324" t="s">
        <v>101</v>
      </c>
      <c r="K324">
        <v>0</v>
      </c>
      <c r="L324">
        <v>0.91059845829660402</v>
      </c>
    </row>
    <row r="325" spans="1:12">
      <c r="A325" t="str">
        <f t="shared" si="5"/>
        <v>N411H11</v>
      </c>
      <c r="B325">
        <v>11</v>
      </c>
      <c r="C325">
        <v>89</v>
      </c>
      <c r="D325">
        <v>77.619619515377494</v>
      </c>
      <c r="E325">
        <v>2934</v>
      </c>
      <c r="F325">
        <v>1.1466173186067701</v>
      </c>
      <c r="G325">
        <v>3.0334014996591701</v>
      </c>
      <c r="H325" t="s">
        <v>67</v>
      </c>
      <c r="I325" t="s">
        <v>102</v>
      </c>
      <c r="J325" t="s">
        <v>103</v>
      </c>
      <c r="K325">
        <v>0</v>
      </c>
      <c r="L325">
        <v>1.06348529777532</v>
      </c>
    </row>
    <row r="326" spans="1:12">
      <c r="A326" t="str">
        <f t="shared" si="5"/>
        <v>R101H11</v>
      </c>
      <c r="B326">
        <v>11</v>
      </c>
      <c r="C326">
        <v>23</v>
      </c>
      <c r="D326">
        <v>18.675913514791699</v>
      </c>
      <c r="E326">
        <v>764</v>
      </c>
      <c r="F326">
        <v>1.23153279660369</v>
      </c>
      <c r="G326">
        <v>3.0104712041884798</v>
      </c>
      <c r="H326" t="s">
        <v>67</v>
      </c>
      <c r="I326" t="s">
        <v>104</v>
      </c>
      <c r="J326" t="s">
        <v>105</v>
      </c>
      <c r="K326">
        <v>0</v>
      </c>
      <c r="L326">
        <v>1.23245129966013</v>
      </c>
    </row>
    <row r="327" spans="1:12">
      <c r="A327" t="str">
        <f t="shared" si="5"/>
        <v>S116H11</v>
      </c>
      <c r="B327">
        <v>11</v>
      </c>
      <c r="C327">
        <v>212</v>
      </c>
      <c r="D327">
        <v>283.31739859758</v>
      </c>
      <c r="E327">
        <v>7011</v>
      </c>
      <c r="F327">
        <v>0.74827737741980904</v>
      </c>
      <c r="G327">
        <v>3.0238197118813299</v>
      </c>
      <c r="H327" t="s">
        <v>67</v>
      </c>
      <c r="I327" t="s">
        <v>106</v>
      </c>
      <c r="J327" t="s">
        <v>107</v>
      </c>
      <c r="K327">
        <v>0</v>
      </c>
      <c r="L327">
        <v>0.76067462023687005</v>
      </c>
    </row>
    <row r="328" spans="1:12">
      <c r="A328" t="str">
        <f t="shared" si="5"/>
        <v>S308H11</v>
      </c>
      <c r="B328">
        <v>11</v>
      </c>
      <c r="C328">
        <v>131</v>
      </c>
      <c r="D328">
        <v>174.66956180296901</v>
      </c>
      <c r="E328">
        <v>7033</v>
      </c>
      <c r="F328">
        <v>0.74998756880017203</v>
      </c>
      <c r="G328">
        <v>1.86264751883976</v>
      </c>
      <c r="H328" t="s">
        <v>67</v>
      </c>
      <c r="I328" t="s">
        <v>108</v>
      </c>
      <c r="J328" t="s">
        <v>109</v>
      </c>
      <c r="K328">
        <v>0</v>
      </c>
      <c r="L328">
        <v>0.85986192142153395</v>
      </c>
    </row>
    <row r="329" spans="1:12">
      <c r="A329" t="str">
        <f t="shared" si="5"/>
        <v>S314H11</v>
      </c>
      <c r="B329">
        <v>11</v>
      </c>
      <c r="C329">
        <v>336</v>
      </c>
      <c r="D329">
        <v>430.06405753765898</v>
      </c>
      <c r="E329">
        <v>11896</v>
      </c>
      <c r="F329">
        <v>0.78127896091520699</v>
      </c>
      <c r="G329">
        <v>2.8244788164088801</v>
      </c>
      <c r="H329" t="s">
        <v>67</v>
      </c>
      <c r="I329" t="s">
        <v>110</v>
      </c>
      <c r="J329" t="s">
        <v>111</v>
      </c>
      <c r="K329">
        <v>0</v>
      </c>
      <c r="L329">
        <v>0.86089888671765602</v>
      </c>
    </row>
    <row r="330" spans="1:12">
      <c r="A330" t="str">
        <f t="shared" si="5"/>
        <v>T101H11</v>
      </c>
      <c r="B330">
        <v>11</v>
      </c>
      <c r="C330">
        <v>316</v>
      </c>
      <c r="D330">
        <v>406.60352900679101</v>
      </c>
      <c r="E330">
        <v>11757</v>
      </c>
      <c r="F330">
        <v>0.77716984102890696</v>
      </c>
      <c r="G330">
        <v>2.6877604831164401</v>
      </c>
      <c r="H330" t="s">
        <v>67</v>
      </c>
      <c r="I330" t="s">
        <v>112</v>
      </c>
      <c r="J330" t="s">
        <v>113</v>
      </c>
      <c r="K330">
        <v>0</v>
      </c>
      <c r="L330">
        <v>0.91691753657432595</v>
      </c>
    </row>
    <row r="331" spans="1:12">
      <c r="A331" t="str">
        <f t="shared" si="5"/>
        <v>T202H11</v>
      </c>
      <c r="B331">
        <v>11</v>
      </c>
      <c r="C331">
        <v>116</v>
      </c>
      <c r="D331">
        <v>131.600000103881</v>
      </c>
      <c r="E331">
        <v>3276</v>
      </c>
      <c r="F331">
        <v>0.88145896586955497</v>
      </c>
      <c r="G331">
        <v>3.5409035409035399</v>
      </c>
      <c r="H331" t="s">
        <v>67</v>
      </c>
      <c r="I331" t="s">
        <v>114</v>
      </c>
      <c r="J331" t="s">
        <v>115</v>
      </c>
      <c r="K331">
        <v>0</v>
      </c>
      <c r="L331">
        <v>0.89244145807722297</v>
      </c>
    </row>
    <row r="332" spans="1:12">
      <c r="A332" t="str">
        <f t="shared" si="5"/>
        <v>T312H11</v>
      </c>
      <c r="B332">
        <v>11</v>
      </c>
      <c r="C332">
        <v>0</v>
      </c>
      <c r="D332">
        <v>2.1987451828049802</v>
      </c>
      <c r="E332">
        <v>1011</v>
      </c>
      <c r="F332">
        <v>0</v>
      </c>
      <c r="G332">
        <v>0</v>
      </c>
      <c r="H332" t="s">
        <v>67</v>
      </c>
      <c r="I332" t="s">
        <v>116</v>
      </c>
      <c r="J332" t="s">
        <v>117</v>
      </c>
      <c r="K332">
        <v>0</v>
      </c>
      <c r="L332">
        <v>0.62819234318905504</v>
      </c>
    </row>
    <row r="333" spans="1:12">
      <c r="A333" t="str">
        <f t="shared" si="5"/>
        <v>V217H11</v>
      </c>
      <c r="B333">
        <v>11</v>
      </c>
      <c r="C333">
        <v>280</v>
      </c>
      <c r="D333">
        <v>280.05034016426799</v>
      </c>
      <c r="E333">
        <v>8032</v>
      </c>
      <c r="F333">
        <v>0.999820246016348</v>
      </c>
      <c r="G333">
        <v>3.4860557768924298</v>
      </c>
      <c r="H333" t="s">
        <v>67</v>
      </c>
      <c r="I333" t="s">
        <v>118</v>
      </c>
      <c r="J333" t="s">
        <v>119</v>
      </c>
      <c r="K333">
        <v>0</v>
      </c>
      <c r="L333">
        <v>0.97329027049884898</v>
      </c>
    </row>
    <row r="334" spans="1:12">
      <c r="A334" t="str">
        <f t="shared" si="5"/>
        <v>W107H11</v>
      </c>
      <c r="B334">
        <v>11</v>
      </c>
      <c r="C334">
        <v>18</v>
      </c>
      <c r="D334">
        <v>19.5741718090236</v>
      </c>
      <c r="E334">
        <v>1052</v>
      </c>
      <c r="F334">
        <v>0.91957913599706498</v>
      </c>
      <c r="G334">
        <v>1.7110266159695799</v>
      </c>
      <c r="H334" t="s">
        <v>67</v>
      </c>
      <c r="I334" t="s">
        <v>120</v>
      </c>
      <c r="J334" t="s">
        <v>121</v>
      </c>
      <c r="K334">
        <v>0</v>
      </c>
      <c r="L334">
        <v>1.2254367995431901</v>
      </c>
    </row>
    <row r="335" spans="1:12">
      <c r="A335" t="str">
        <f t="shared" si="5"/>
        <v>Z102H11</v>
      </c>
      <c r="B335">
        <v>11</v>
      </c>
      <c r="C335">
        <v>18</v>
      </c>
      <c r="D335">
        <v>19.746333905025899</v>
      </c>
      <c r="E335">
        <v>883</v>
      </c>
      <c r="F335">
        <v>0.91156161374433997</v>
      </c>
      <c r="G335">
        <v>2.0385050962627398</v>
      </c>
      <c r="H335" t="s">
        <v>67</v>
      </c>
      <c r="I335" t="s">
        <v>122</v>
      </c>
      <c r="J335" t="s">
        <v>123</v>
      </c>
      <c r="K335">
        <v>0</v>
      </c>
      <c r="L335">
        <v>1.02324738165569</v>
      </c>
    </row>
    <row r="336" spans="1:12">
      <c r="A336" t="str">
        <f t="shared" si="5"/>
        <v>A111H12</v>
      </c>
      <c r="B336">
        <v>12</v>
      </c>
      <c r="C336">
        <v>270</v>
      </c>
      <c r="D336">
        <v>295.098718250243</v>
      </c>
      <c r="E336">
        <v>9231</v>
      </c>
      <c r="F336">
        <v>0.91494806077415802</v>
      </c>
      <c r="G336">
        <v>2.9249268768280801</v>
      </c>
      <c r="H336" t="s">
        <v>67</v>
      </c>
      <c r="I336" t="s">
        <v>68</v>
      </c>
      <c r="J336" t="s">
        <v>69</v>
      </c>
      <c r="K336">
        <v>0</v>
      </c>
      <c r="L336">
        <v>0.90954680117604003</v>
      </c>
    </row>
    <row r="337" spans="1:12">
      <c r="A337" t="str">
        <f t="shared" si="5"/>
        <v>A210H12</v>
      </c>
      <c r="B337">
        <v>12</v>
      </c>
      <c r="C337">
        <v>239</v>
      </c>
      <c r="D337">
        <v>216.77774779639199</v>
      </c>
      <c r="E337">
        <v>6992</v>
      </c>
      <c r="F337">
        <v>1.1025116850299601</v>
      </c>
      <c r="G337">
        <v>3.4181922196796299</v>
      </c>
      <c r="H337" t="s">
        <v>67</v>
      </c>
      <c r="I337" t="s">
        <v>70</v>
      </c>
      <c r="J337" t="s">
        <v>71</v>
      </c>
      <c r="K337">
        <v>0</v>
      </c>
      <c r="L337">
        <v>0.96821973745572898</v>
      </c>
    </row>
    <row r="338" spans="1:12">
      <c r="A338" t="str">
        <f t="shared" si="5"/>
        <v>B120H12</v>
      </c>
      <c r="B338">
        <v>12</v>
      </c>
      <c r="C338">
        <v>118</v>
      </c>
      <c r="D338">
        <v>154.31184299987601</v>
      </c>
      <c r="E338">
        <v>4416</v>
      </c>
      <c r="F338">
        <v>0.76468531323350897</v>
      </c>
      <c r="G338">
        <v>2.6721014492753601</v>
      </c>
      <c r="H338" t="s">
        <v>67</v>
      </c>
      <c r="I338" t="s">
        <v>72</v>
      </c>
      <c r="J338" t="s">
        <v>73</v>
      </c>
      <c r="K338">
        <v>0</v>
      </c>
      <c r="L338">
        <v>0.93471539957397198</v>
      </c>
    </row>
    <row r="339" spans="1:12">
      <c r="A339" t="str">
        <f t="shared" si="5"/>
        <v>C121H12</v>
      </c>
      <c r="B339">
        <v>12</v>
      </c>
      <c r="C339">
        <v>27</v>
      </c>
      <c r="D339">
        <v>23.178652267044701</v>
      </c>
      <c r="E339">
        <v>763</v>
      </c>
      <c r="F339">
        <v>1.1648649666481401</v>
      </c>
      <c r="G339">
        <v>3.5386631716906898</v>
      </c>
      <c r="H339" t="s">
        <v>67</v>
      </c>
      <c r="I339" t="s">
        <v>74</v>
      </c>
      <c r="J339" t="s">
        <v>75</v>
      </c>
      <c r="K339">
        <v>0</v>
      </c>
      <c r="L339">
        <v>1.0934689257222301</v>
      </c>
    </row>
    <row r="340" spans="1:12">
      <c r="A340" t="str">
        <f t="shared" si="5"/>
        <v>C313H12</v>
      </c>
      <c r="B340">
        <v>12</v>
      </c>
      <c r="C340">
        <v>141</v>
      </c>
      <c r="D340">
        <v>130.21281978471299</v>
      </c>
      <c r="E340">
        <v>4853</v>
      </c>
      <c r="F340">
        <v>1.08284268963011</v>
      </c>
      <c r="G340">
        <v>2.90541932825057</v>
      </c>
      <c r="H340" t="s">
        <v>67</v>
      </c>
      <c r="I340" t="s">
        <v>76</v>
      </c>
      <c r="J340" t="s">
        <v>77</v>
      </c>
      <c r="K340">
        <v>0</v>
      </c>
      <c r="L340">
        <v>1.1238163888074799</v>
      </c>
    </row>
    <row r="341" spans="1:12">
      <c r="A341" t="str">
        <f t="shared" si="5"/>
        <v>C418H12</v>
      </c>
      <c r="B341">
        <v>12</v>
      </c>
      <c r="C341">
        <v>258</v>
      </c>
      <c r="D341">
        <v>262.30401470403598</v>
      </c>
      <c r="E341">
        <v>10229</v>
      </c>
      <c r="F341">
        <v>0.98359150274961704</v>
      </c>
      <c r="G341">
        <v>2.5222406882393198</v>
      </c>
      <c r="H341" t="s">
        <v>67</v>
      </c>
      <c r="I341" t="s">
        <v>78</v>
      </c>
      <c r="J341" t="s">
        <v>79</v>
      </c>
      <c r="K341">
        <v>0</v>
      </c>
      <c r="L341">
        <v>1.0790052841872</v>
      </c>
    </row>
    <row r="342" spans="1:12">
      <c r="A342" t="str">
        <f t="shared" si="5"/>
        <v>D102H12</v>
      </c>
      <c r="B342">
        <v>12</v>
      </c>
      <c r="C342">
        <v>41</v>
      </c>
      <c r="D342">
        <v>33.606003562645803</v>
      </c>
      <c r="E342">
        <v>3678</v>
      </c>
      <c r="F342">
        <v>1.22002010514493</v>
      </c>
      <c r="G342">
        <v>1.1147362697118</v>
      </c>
      <c r="H342" t="s">
        <v>67</v>
      </c>
      <c r="I342" t="s">
        <v>80</v>
      </c>
      <c r="J342" t="s">
        <v>81</v>
      </c>
      <c r="K342">
        <v>0</v>
      </c>
      <c r="L342">
        <v>0.81484672133748004</v>
      </c>
    </row>
    <row r="343" spans="1:12">
      <c r="A343" t="str">
        <f t="shared" si="5"/>
        <v>F704H12</v>
      </c>
      <c r="B343">
        <v>12</v>
      </c>
      <c r="C343">
        <v>363</v>
      </c>
      <c r="D343">
        <v>396.05093618059499</v>
      </c>
      <c r="E343">
        <v>8462</v>
      </c>
      <c r="F343">
        <v>0.91654877400536205</v>
      </c>
      <c r="G343">
        <v>4.2897660127629402</v>
      </c>
      <c r="H343" t="s">
        <v>67</v>
      </c>
      <c r="I343" t="s">
        <v>82</v>
      </c>
      <c r="J343" t="s">
        <v>83</v>
      </c>
      <c r="K343">
        <v>0</v>
      </c>
      <c r="L343">
        <v>0.90598389158084702</v>
      </c>
    </row>
    <row r="344" spans="1:12">
      <c r="A344" t="str">
        <f t="shared" si="5"/>
        <v>G107H12</v>
      </c>
      <c r="B344">
        <v>12</v>
      </c>
      <c r="C344">
        <v>352</v>
      </c>
      <c r="D344">
        <v>399.86827069800597</v>
      </c>
      <c r="E344">
        <v>13999</v>
      </c>
      <c r="F344">
        <v>0.88028989993517603</v>
      </c>
      <c r="G344">
        <v>2.5144653189513502</v>
      </c>
      <c r="H344" t="s">
        <v>67</v>
      </c>
      <c r="I344" t="s">
        <v>84</v>
      </c>
      <c r="J344" t="s">
        <v>85</v>
      </c>
      <c r="K344">
        <v>0</v>
      </c>
      <c r="L344">
        <v>0.96528387905070401</v>
      </c>
    </row>
    <row r="345" spans="1:12">
      <c r="A345" t="str">
        <f t="shared" si="5"/>
        <v>G405H12</v>
      </c>
      <c r="B345">
        <v>12</v>
      </c>
      <c r="C345">
        <v>133</v>
      </c>
      <c r="D345">
        <v>163.93436753695201</v>
      </c>
      <c r="E345">
        <v>6266</v>
      </c>
      <c r="F345">
        <v>0.81130029046545604</v>
      </c>
      <c r="G345">
        <v>2.1225662304500501</v>
      </c>
      <c r="H345" t="s">
        <v>67</v>
      </c>
      <c r="I345" t="s">
        <v>86</v>
      </c>
      <c r="J345" t="s">
        <v>87</v>
      </c>
      <c r="K345">
        <v>0</v>
      </c>
      <c r="L345">
        <v>0.89545680269219396</v>
      </c>
    </row>
    <row r="346" spans="1:12">
      <c r="A346" t="str">
        <f t="shared" si="5"/>
        <v>H103H12</v>
      </c>
      <c r="B346">
        <v>12</v>
      </c>
      <c r="C346">
        <v>36</v>
      </c>
      <c r="D346">
        <v>34.3739816904612</v>
      </c>
      <c r="E346">
        <v>905</v>
      </c>
      <c r="F346">
        <v>1.04730375212802</v>
      </c>
      <c r="G346">
        <v>3.9779005524861901</v>
      </c>
      <c r="H346" t="s">
        <v>67</v>
      </c>
      <c r="I346" t="s">
        <v>88</v>
      </c>
      <c r="J346" t="s">
        <v>89</v>
      </c>
      <c r="K346">
        <v>0</v>
      </c>
      <c r="L346">
        <v>0.99523299389320197</v>
      </c>
    </row>
    <row r="347" spans="1:12">
      <c r="A347" t="str">
        <f t="shared" si="5"/>
        <v>H202H12</v>
      </c>
      <c r="B347">
        <v>12</v>
      </c>
      <c r="C347">
        <v>151</v>
      </c>
      <c r="D347">
        <v>190.78706696662499</v>
      </c>
      <c r="E347">
        <v>7493</v>
      </c>
      <c r="F347">
        <v>0.79145825972792305</v>
      </c>
      <c r="G347">
        <v>2.0152141999199298</v>
      </c>
      <c r="H347" t="s">
        <v>67</v>
      </c>
      <c r="I347" t="s">
        <v>90</v>
      </c>
      <c r="J347" t="s">
        <v>91</v>
      </c>
      <c r="K347">
        <v>0</v>
      </c>
      <c r="L347">
        <v>0.78892054618645102</v>
      </c>
    </row>
    <row r="348" spans="1:12">
      <c r="A348" t="str">
        <f t="shared" si="5"/>
        <v>H212H12</v>
      </c>
      <c r="B348">
        <v>12</v>
      </c>
      <c r="C348">
        <v>17</v>
      </c>
      <c r="D348">
        <v>16.432791870844198</v>
      </c>
      <c r="E348">
        <v>474</v>
      </c>
      <c r="F348">
        <v>1.0345168449533</v>
      </c>
      <c r="G348">
        <v>3.5864978902953601</v>
      </c>
      <c r="H348" t="s">
        <v>67</v>
      </c>
      <c r="I348" t="s">
        <v>92</v>
      </c>
      <c r="J348" t="s">
        <v>93</v>
      </c>
      <c r="K348">
        <v>0</v>
      </c>
      <c r="L348">
        <v>1.09619686599983</v>
      </c>
    </row>
    <row r="349" spans="1:12">
      <c r="A349" t="str">
        <f t="shared" si="5"/>
        <v>L106H12</v>
      </c>
      <c r="B349">
        <v>12</v>
      </c>
      <c r="C349">
        <v>250</v>
      </c>
      <c r="D349">
        <v>268.60283111784599</v>
      </c>
      <c r="E349">
        <v>7638</v>
      </c>
      <c r="F349">
        <v>0.93074223737543404</v>
      </c>
      <c r="G349">
        <v>3.2731081434930598</v>
      </c>
      <c r="H349" t="s">
        <v>67</v>
      </c>
      <c r="I349" t="s">
        <v>94</v>
      </c>
      <c r="J349" t="s">
        <v>95</v>
      </c>
      <c r="K349">
        <v>0</v>
      </c>
      <c r="L349">
        <v>0.95517336539513797</v>
      </c>
    </row>
    <row r="350" spans="1:12">
      <c r="A350" t="str">
        <f t="shared" si="5"/>
        <v>L302H12</v>
      </c>
      <c r="B350">
        <v>12</v>
      </c>
      <c r="C350">
        <v>214</v>
      </c>
      <c r="D350">
        <v>239.982833496902</v>
      </c>
      <c r="E350">
        <v>7396</v>
      </c>
      <c r="F350">
        <v>0.89173044955635405</v>
      </c>
      <c r="G350">
        <v>2.89345592212007</v>
      </c>
      <c r="H350" t="s">
        <v>67</v>
      </c>
      <c r="I350" t="s">
        <v>96</v>
      </c>
      <c r="J350" t="s">
        <v>97</v>
      </c>
      <c r="K350">
        <v>0</v>
      </c>
      <c r="L350">
        <v>0.93275514338961096</v>
      </c>
    </row>
    <row r="351" spans="1:12">
      <c r="A351" t="str">
        <f t="shared" si="5"/>
        <v>L308H12</v>
      </c>
      <c r="B351">
        <v>12</v>
      </c>
      <c r="C351">
        <v>241</v>
      </c>
      <c r="D351">
        <v>248.85687292041899</v>
      </c>
      <c r="E351">
        <v>9674</v>
      </c>
      <c r="F351">
        <v>0.96842814575215097</v>
      </c>
      <c r="G351">
        <v>2.4912135621252798</v>
      </c>
      <c r="H351" t="s">
        <v>67</v>
      </c>
      <c r="I351" t="s">
        <v>98</v>
      </c>
      <c r="J351" t="s">
        <v>99</v>
      </c>
      <c r="K351">
        <v>0</v>
      </c>
      <c r="L351">
        <v>1.0828731278539101</v>
      </c>
    </row>
    <row r="352" spans="1:12">
      <c r="A352" t="str">
        <f t="shared" si="5"/>
        <v>N101H12</v>
      </c>
      <c r="B352">
        <v>12</v>
      </c>
      <c r="C352">
        <v>419</v>
      </c>
      <c r="D352">
        <v>432.946910938325</v>
      </c>
      <c r="E352">
        <v>15127</v>
      </c>
      <c r="F352">
        <v>0.96778609435485297</v>
      </c>
      <c r="G352">
        <v>2.7698816685396999</v>
      </c>
      <c r="H352" t="s">
        <v>67</v>
      </c>
      <c r="I352" t="s">
        <v>100</v>
      </c>
      <c r="J352" t="s">
        <v>101</v>
      </c>
      <c r="K352">
        <v>0</v>
      </c>
      <c r="L352">
        <v>0.91059845829660402</v>
      </c>
    </row>
    <row r="353" spans="1:12">
      <c r="A353" t="str">
        <f t="shared" si="5"/>
        <v>N411H12</v>
      </c>
      <c r="B353">
        <v>12</v>
      </c>
      <c r="C353">
        <v>91</v>
      </c>
      <c r="D353">
        <v>83.042640570596305</v>
      </c>
      <c r="E353">
        <v>2932</v>
      </c>
      <c r="F353">
        <v>1.09582257229211</v>
      </c>
      <c r="G353">
        <v>3.1036834924965899</v>
      </c>
      <c r="H353" t="s">
        <v>67</v>
      </c>
      <c r="I353" t="s">
        <v>102</v>
      </c>
      <c r="J353" t="s">
        <v>103</v>
      </c>
      <c r="K353">
        <v>0</v>
      </c>
      <c r="L353">
        <v>1.06348529777532</v>
      </c>
    </row>
    <row r="354" spans="1:12">
      <c r="A354" t="str">
        <f t="shared" si="5"/>
        <v>R101H12</v>
      </c>
      <c r="B354">
        <v>12</v>
      </c>
      <c r="C354">
        <v>27</v>
      </c>
      <c r="D354">
        <v>23.1368343498069</v>
      </c>
      <c r="E354">
        <v>830</v>
      </c>
      <c r="F354">
        <v>1.16697036387026</v>
      </c>
      <c r="G354">
        <v>3.2530120481927698</v>
      </c>
      <c r="H354" t="s">
        <v>67</v>
      </c>
      <c r="I354" t="s">
        <v>104</v>
      </c>
      <c r="J354" t="s">
        <v>105</v>
      </c>
      <c r="K354">
        <v>0</v>
      </c>
      <c r="L354">
        <v>1.23245129966013</v>
      </c>
    </row>
    <row r="355" spans="1:12">
      <c r="A355" t="str">
        <f t="shared" si="5"/>
        <v>S116H12</v>
      </c>
      <c r="B355">
        <v>12</v>
      </c>
      <c r="C355">
        <v>240</v>
      </c>
      <c r="D355">
        <v>313.625994086292</v>
      </c>
      <c r="E355">
        <v>7073</v>
      </c>
      <c r="F355">
        <v>0.76524269201348605</v>
      </c>
      <c r="G355">
        <v>3.3931853527498901</v>
      </c>
      <c r="H355" t="s">
        <v>67</v>
      </c>
      <c r="I355" t="s">
        <v>106</v>
      </c>
      <c r="J355" t="s">
        <v>107</v>
      </c>
      <c r="K355">
        <v>0</v>
      </c>
      <c r="L355">
        <v>0.76067462023687005</v>
      </c>
    </row>
    <row r="356" spans="1:12">
      <c r="A356" t="str">
        <f t="shared" si="5"/>
        <v>S308H12</v>
      </c>
      <c r="B356">
        <v>12</v>
      </c>
      <c r="C356">
        <v>158</v>
      </c>
      <c r="D356">
        <v>185.92753506682399</v>
      </c>
      <c r="E356">
        <v>7277</v>
      </c>
      <c r="F356">
        <v>0.84979344206985497</v>
      </c>
      <c r="G356">
        <v>2.1712244056616701</v>
      </c>
      <c r="H356" t="s">
        <v>67</v>
      </c>
      <c r="I356" t="s">
        <v>108</v>
      </c>
      <c r="J356" t="s">
        <v>109</v>
      </c>
      <c r="K356">
        <v>0</v>
      </c>
      <c r="L356">
        <v>0.85986192142153395</v>
      </c>
    </row>
    <row r="357" spans="1:12">
      <c r="A357" t="str">
        <f t="shared" si="5"/>
        <v>S314H12</v>
      </c>
      <c r="B357">
        <v>12</v>
      </c>
      <c r="C357">
        <v>362</v>
      </c>
      <c r="D357">
        <v>443.30679130841298</v>
      </c>
      <c r="E357">
        <v>11723</v>
      </c>
      <c r="F357">
        <v>0.81659024201177299</v>
      </c>
      <c r="G357">
        <v>3.0879467713042699</v>
      </c>
      <c r="H357" t="s">
        <v>67</v>
      </c>
      <c r="I357" t="s">
        <v>110</v>
      </c>
      <c r="J357" t="s">
        <v>111</v>
      </c>
      <c r="K357">
        <v>0</v>
      </c>
      <c r="L357">
        <v>0.86089888671765602</v>
      </c>
    </row>
    <row r="358" spans="1:12">
      <c r="A358" t="str">
        <f t="shared" si="5"/>
        <v>T101H12</v>
      </c>
      <c r="B358">
        <v>12</v>
      </c>
      <c r="C358">
        <v>331</v>
      </c>
      <c r="D358">
        <v>404.44537223705902</v>
      </c>
      <c r="E358">
        <v>11644</v>
      </c>
      <c r="F358">
        <v>0.81840471599212605</v>
      </c>
      <c r="G358">
        <v>2.8426657506011699</v>
      </c>
      <c r="H358" t="s">
        <v>67</v>
      </c>
      <c r="I358" t="s">
        <v>112</v>
      </c>
      <c r="J358" t="s">
        <v>113</v>
      </c>
      <c r="K358">
        <v>0</v>
      </c>
      <c r="L358">
        <v>0.91691753657432595</v>
      </c>
    </row>
    <row r="359" spans="1:12">
      <c r="A359" t="str">
        <f t="shared" si="5"/>
        <v>T202H12</v>
      </c>
      <c r="B359">
        <v>12</v>
      </c>
      <c r="C359">
        <v>129</v>
      </c>
      <c r="D359">
        <v>141.59931170283701</v>
      </c>
      <c r="E359">
        <v>3187</v>
      </c>
      <c r="F359">
        <v>0.91102137749597001</v>
      </c>
      <c r="G359">
        <v>4.0476937558832802</v>
      </c>
      <c r="H359" t="s">
        <v>67</v>
      </c>
      <c r="I359" t="s">
        <v>114</v>
      </c>
      <c r="J359" t="s">
        <v>115</v>
      </c>
      <c r="K359">
        <v>0</v>
      </c>
      <c r="L359">
        <v>0.89244145807722297</v>
      </c>
    </row>
    <row r="360" spans="1:12">
      <c r="A360" t="str">
        <f t="shared" si="5"/>
        <v>T312H12</v>
      </c>
      <c r="B360">
        <v>12</v>
      </c>
      <c r="C360">
        <v>1</v>
      </c>
      <c r="D360">
        <v>2.2928066213608398</v>
      </c>
      <c r="E360">
        <v>1144</v>
      </c>
      <c r="F360">
        <v>0.43614668183681099</v>
      </c>
      <c r="G360">
        <v>8.7412587412587395E-2</v>
      </c>
      <c r="H360" t="s">
        <v>67</v>
      </c>
      <c r="I360" t="s">
        <v>116</v>
      </c>
      <c r="J360" t="s">
        <v>117</v>
      </c>
      <c r="K360">
        <v>0</v>
      </c>
      <c r="L360">
        <v>0.62819234318905504</v>
      </c>
    </row>
    <row r="361" spans="1:12">
      <c r="A361" t="str">
        <f t="shared" si="5"/>
        <v>V217H12</v>
      </c>
      <c r="B361">
        <v>12</v>
      </c>
      <c r="C361">
        <v>289</v>
      </c>
      <c r="D361">
        <v>276.25544483338302</v>
      </c>
      <c r="E361">
        <v>8036</v>
      </c>
      <c r="F361">
        <v>1.04613322707288</v>
      </c>
      <c r="G361">
        <v>3.5963165754106501</v>
      </c>
      <c r="H361" t="s">
        <v>67</v>
      </c>
      <c r="I361" t="s">
        <v>118</v>
      </c>
      <c r="J361" t="s">
        <v>119</v>
      </c>
      <c r="K361">
        <v>0</v>
      </c>
      <c r="L361">
        <v>0.97329027049884898</v>
      </c>
    </row>
    <row r="362" spans="1:12">
      <c r="A362" t="str">
        <f t="shared" si="5"/>
        <v>W107H12</v>
      </c>
      <c r="B362">
        <v>12</v>
      </c>
      <c r="C362">
        <v>26</v>
      </c>
      <c r="D362">
        <v>24.8110074106059</v>
      </c>
      <c r="E362">
        <v>986</v>
      </c>
      <c r="F362">
        <v>1.0479219795358199</v>
      </c>
      <c r="G362">
        <v>2.6369168356997998</v>
      </c>
      <c r="H362" t="s">
        <v>67</v>
      </c>
      <c r="I362" t="s">
        <v>120</v>
      </c>
      <c r="J362" t="s">
        <v>121</v>
      </c>
      <c r="K362">
        <v>0</v>
      </c>
      <c r="L362">
        <v>1.2254367995431901</v>
      </c>
    </row>
    <row r="363" spans="1:12">
      <c r="A363" t="str">
        <f t="shared" si="5"/>
        <v>Z102H12</v>
      </c>
      <c r="B363">
        <v>12</v>
      </c>
      <c r="C363">
        <v>18</v>
      </c>
      <c r="D363">
        <v>20.175089618916399</v>
      </c>
      <c r="E363">
        <v>915</v>
      </c>
      <c r="F363">
        <v>0.89218934537584205</v>
      </c>
      <c r="G363">
        <v>1.9672131147541001</v>
      </c>
      <c r="H363" t="s">
        <v>67</v>
      </c>
      <c r="I363" t="s">
        <v>122</v>
      </c>
      <c r="J363" t="s">
        <v>123</v>
      </c>
      <c r="K363">
        <v>0</v>
      </c>
      <c r="L363">
        <v>1.02324738165569</v>
      </c>
    </row>
    <row r="364" spans="1:12">
      <c r="A364" t="str">
        <f t="shared" si="5"/>
        <v>A111H13</v>
      </c>
      <c r="B364">
        <v>13</v>
      </c>
      <c r="C364">
        <v>263</v>
      </c>
      <c r="D364">
        <v>303.56911191046697</v>
      </c>
      <c r="E364">
        <v>9280</v>
      </c>
      <c r="F364">
        <v>0.86635955267269604</v>
      </c>
      <c r="G364">
        <v>2.8340517241379302</v>
      </c>
      <c r="H364" t="s">
        <v>67</v>
      </c>
      <c r="I364" t="s">
        <v>68</v>
      </c>
      <c r="J364" t="s">
        <v>69</v>
      </c>
      <c r="K364">
        <v>1</v>
      </c>
      <c r="L364">
        <v>0.90096323195732597</v>
      </c>
    </row>
    <row r="365" spans="1:12">
      <c r="A365" t="str">
        <f t="shared" si="5"/>
        <v>A210H13</v>
      </c>
      <c r="B365">
        <v>13</v>
      </c>
      <c r="C365">
        <v>215</v>
      </c>
      <c r="D365">
        <v>224.93195159969801</v>
      </c>
      <c r="E365">
        <v>7215</v>
      </c>
      <c r="F365">
        <v>0.95584463866043401</v>
      </c>
      <c r="G365">
        <v>2.9799029799029801</v>
      </c>
      <c r="H365" t="s">
        <v>67</v>
      </c>
      <c r="I365" t="s">
        <v>70</v>
      </c>
      <c r="J365" t="s">
        <v>71</v>
      </c>
      <c r="K365">
        <v>1</v>
      </c>
      <c r="L365">
        <v>0.959678944421411</v>
      </c>
    </row>
    <row r="366" spans="1:12">
      <c r="A366" t="str">
        <f t="shared" si="5"/>
        <v>B120H13</v>
      </c>
      <c r="B366">
        <v>13</v>
      </c>
      <c r="C366">
        <v>123</v>
      </c>
      <c r="D366">
        <v>147.10160413666401</v>
      </c>
      <c r="E366">
        <v>4322</v>
      </c>
      <c r="F366">
        <v>0.83615675520252797</v>
      </c>
      <c r="G366">
        <v>2.8459046737621501</v>
      </c>
      <c r="H366" t="s">
        <v>67</v>
      </c>
      <c r="I366" t="s">
        <v>72</v>
      </c>
      <c r="J366" t="s">
        <v>73</v>
      </c>
      <c r="K366">
        <v>1</v>
      </c>
      <c r="L366">
        <v>0.93492750423985305</v>
      </c>
    </row>
    <row r="367" spans="1:12">
      <c r="A367" t="str">
        <f t="shared" si="5"/>
        <v>C121H13</v>
      </c>
      <c r="B367">
        <v>13</v>
      </c>
      <c r="C367">
        <v>29</v>
      </c>
      <c r="D367">
        <v>23.641581808705901</v>
      </c>
      <c r="E367">
        <v>771</v>
      </c>
      <c r="F367">
        <v>1.2266522703367</v>
      </c>
      <c r="G367">
        <v>3.7613488975356701</v>
      </c>
      <c r="H367" t="s">
        <v>67</v>
      </c>
      <c r="I367" t="s">
        <v>74</v>
      </c>
      <c r="J367" t="s">
        <v>75</v>
      </c>
      <c r="K367">
        <v>1</v>
      </c>
      <c r="L367">
        <v>1.09042571174583</v>
      </c>
    </row>
    <row r="368" spans="1:12">
      <c r="A368" t="str">
        <f t="shared" si="5"/>
        <v>C313H13</v>
      </c>
      <c r="B368">
        <v>13</v>
      </c>
      <c r="C368">
        <v>133</v>
      </c>
      <c r="D368">
        <v>123.34967350495999</v>
      </c>
      <c r="E368">
        <v>5056</v>
      </c>
      <c r="F368">
        <v>1.0782355252416</v>
      </c>
      <c r="G368">
        <v>2.63053797468354</v>
      </c>
      <c r="H368" t="s">
        <v>67</v>
      </c>
      <c r="I368" t="s">
        <v>76</v>
      </c>
      <c r="J368" t="s">
        <v>77</v>
      </c>
      <c r="K368">
        <v>1</v>
      </c>
      <c r="L368">
        <v>1.1103304638755001</v>
      </c>
    </row>
    <row r="369" spans="1:12">
      <c r="A369" t="str">
        <f t="shared" si="5"/>
        <v>C418H13</v>
      </c>
      <c r="B369">
        <v>13</v>
      </c>
      <c r="C369">
        <v>286</v>
      </c>
      <c r="D369">
        <v>258.47044218428198</v>
      </c>
      <c r="E369">
        <v>10065</v>
      </c>
      <c r="F369">
        <v>1.1065095009822901</v>
      </c>
      <c r="G369">
        <v>2.8415300546448101</v>
      </c>
      <c r="H369" t="s">
        <v>67</v>
      </c>
      <c r="I369" t="s">
        <v>78</v>
      </c>
      <c r="J369" t="s">
        <v>79</v>
      </c>
      <c r="K369">
        <v>1</v>
      </c>
      <c r="L369">
        <v>1.07456336790713</v>
      </c>
    </row>
    <row r="370" spans="1:12">
      <c r="A370" t="str">
        <f t="shared" si="5"/>
        <v>D102H13</v>
      </c>
      <c r="B370">
        <v>13</v>
      </c>
      <c r="C370">
        <v>22</v>
      </c>
      <c r="D370">
        <v>31.229999799182501</v>
      </c>
      <c r="E370">
        <v>4140</v>
      </c>
      <c r="F370">
        <v>0.70445085307288002</v>
      </c>
      <c r="G370">
        <v>0.53140096618357502</v>
      </c>
      <c r="H370" t="s">
        <v>67</v>
      </c>
      <c r="I370" t="s">
        <v>80</v>
      </c>
      <c r="J370" t="s">
        <v>81</v>
      </c>
      <c r="K370">
        <v>1</v>
      </c>
      <c r="L370">
        <v>0.824626773929237</v>
      </c>
    </row>
    <row r="371" spans="1:12">
      <c r="A371" t="str">
        <f t="shared" si="5"/>
        <v>F704H13</v>
      </c>
      <c r="B371">
        <v>13</v>
      </c>
      <c r="C371">
        <v>303</v>
      </c>
      <c r="D371">
        <v>403.38752620042999</v>
      </c>
      <c r="E371">
        <v>8471</v>
      </c>
      <c r="F371">
        <v>0.75113874455664098</v>
      </c>
      <c r="G371">
        <v>3.5769094557903398</v>
      </c>
      <c r="H371" t="s">
        <v>67</v>
      </c>
      <c r="I371" t="s">
        <v>82</v>
      </c>
      <c r="J371" t="s">
        <v>83</v>
      </c>
      <c r="K371">
        <v>1</v>
      </c>
      <c r="L371">
        <v>0.90543995720277104</v>
      </c>
    </row>
    <row r="372" spans="1:12">
      <c r="A372" t="str">
        <f t="shared" si="5"/>
        <v>G107H13</v>
      </c>
      <c r="B372">
        <v>13</v>
      </c>
      <c r="C372">
        <v>366</v>
      </c>
      <c r="D372">
        <v>398.43903572075101</v>
      </c>
      <c r="E372">
        <v>14179</v>
      </c>
      <c r="F372">
        <v>0.91858469473988502</v>
      </c>
      <c r="G372">
        <v>2.5812821778686801</v>
      </c>
      <c r="H372" t="s">
        <v>67</v>
      </c>
      <c r="I372" t="s">
        <v>84</v>
      </c>
      <c r="J372" t="s">
        <v>85</v>
      </c>
      <c r="K372">
        <v>1</v>
      </c>
      <c r="L372">
        <v>0.96036411327668503</v>
      </c>
    </row>
    <row r="373" spans="1:12">
      <c r="A373" t="str">
        <f t="shared" si="5"/>
        <v>G405H13</v>
      </c>
      <c r="B373">
        <v>13</v>
      </c>
      <c r="C373">
        <v>168</v>
      </c>
      <c r="D373">
        <v>169.26285122320101</v>
      </c>
      <c r="E373">
        <v>6271</v>
      </c>
      <c r="F373">
        <v>0.99253911171840303</v>
      </c>
      <c r="G373">
        <v>2.6789985648222001</v>
      </c>
      <c r="H373" t="s">
        <v>67</v>
      </c>
      <c r="I373" t="s">
        <v>86</v>
      </c>
      <c r="J373" t="s">
        <v>87</v>
      </c>
      <c r="K373">
        <v>1</v>
      </c>
      <c r="L373">
        <v>0.89551394327481104</v>
      </c>
    </row>
    <row r="374" spans="1:12">
      <c r="A374" t="str">
        <f t="shared" si="5"/>
        <v>H103H13</v>
      </c>
      <c r="B374">
        <v>13</v>
      </c>
      <c r="C374">
        <v>20</v>
      </c>
      <c r="D374">
        <v>33.511905692727098</v>
      </c>
      <c r="E374">
        <v>886</v>
      </c>
      <c r="F374">
        <v>0.59680282534157703</v>
      </c>
      <c r="G374">
        <v>2.2573363431151199</v>
      </c>
      <c r="H374" t="s">
        <v>67</v>
      </c>
      <c r="I374" t="s">
        <v>88</v>
      </c>
      <c r="J374" t="s">
        <v>89</v>
      </c>
      <c r="K374">
        <v>1</v>
      </c>
      <c r="L374">
        <v>0.98875973486539703</v>
      </c>
    </row>
    <row r="375" spans="1:12">
      <c r="A375" t="str">
        <f t="shared" si="5"/>
        <v>H202H13</v>
      </c>
      <c r="B375">
        <v>13</v>
      </c>
      <c r="C375">
        <v>154</v>
      </c>
      <c r="D375">
        <v>198.53292549429699</v>
      </c>
      <c r="E375">
        <v>7390</v>
      </c>
      <c r="F375">
        <v>0.77568997493276803</v>
      </c>
      <c r="G375">
        <v>2.0838971583220598</v>
      </c>
      <c r="H375" t="s">
        <v>67</v>
      </c>
      <c r="I375" t="s">
        <v>90</v>
      </c>
      <c r="J375" t="s">
        <v>91</v>
      </c>
      <c r="K375">
        <v>1</v>
      </c>
      <c r="L375">
        <v>0.79238109755944597</v>
      </c>
    </row>
    <row r="376" spans="1:12">
      <c r="A376" t="str">
        <f t="shared" si="5"/>
        <v>H212H13</v>
      </c>
      <c r="B376">
        <v>13</v>
      </c>
      <c r="C376">
        <v>17</v>
      </c>
      <c r="D376">
        <v>17.326461709618499</v>
      </c>
      <c r="E376">
        <v>446</v>
      </c>
      <c r="F376">
        <v>0.98115820095933204</v>
      </c>
      <c r="G376">
        <v>3.8116591928251098</v>
      </c>
      <c r="H376" t="s">
        <v>67</v>
      </c>
      <c r="I376" t="s">
        <v>92</v>
      </c>
      <c r="J376" t="s">
        <v>93</v>
      </c>
      <c r="K376">
        <v>1</v>
      </c>
      <c r="L376">
        <v>1.0971091793908501</v>
      </c>
    </row>
    <row r="377" spans="1:12">
      <c r="A377" t="str">
        <f t="shared" si="5"/>
        <v>L106H13</v>
      </c>
      <c r="B377">
        <v>13</v>
      </c>
      <c r="C377">
        <v>205</v>
      </c>
      <c r="D377">
        <v>254.588864318129</v>
      </c>
      <c r="E377">
        <v>7787</v>
      </c>
      <c r="F377">
        <v>0.80521982196297603</v>
      </c>
      <c r="G377">
        <v>2.6325927828431999</v>
      </c>
      <c r="H377" t="s">
        <v>67</v>
      </c>
      <c r="I377" t="s">
        <v>94</v>
      </c>
      <c r="J377" t="s">
        <v>95</v>
      </c>
      <c r="K377">
        <v>1</v>
      </c>
      <c r="L377">
        <v>0.94547164419497198</v>
      </c>
    </row>
    <row r="378" spans="1:12">
      <c r="A378" t="str">
        <f t="shared" si="5"/>
        <v>L302H13</v>
      </c>
      <c r="B378">
        <v>13</v>
      </c>
      <c r="C378">
        <v>222</v>
      </c>
      <c r="D378">
        <v>252.54839904606001</v>
      </c>
      <c r="E378">
        <v>7160</v>
      </c>
      <c r="F378">
        <v>0.87903942705062099</v>
      </c>
      <c r="G378">
        <v>3.1005586592178802</v>
      </c>
      <c r="H378" t="s">
        <v>67</v>
      </c>
      <c r="I378" t="s">
        <v>96</v>
      </c>
      <c r="J378" t="s">
        <v>97</v>
      </c>
      <c r="K378">
        <v>1</v>
      </c>
      <c r="L378">
        <v>0.92375643987904499</v>
      </c>
    </row>
    <row r="379" spans="1:12">
      <c r="A379" t="str">
        <f t="shared" si="5"/>
        <v>L308H13</v>
      </c>
      <c r="B379">
        <v>13</v>
      </c>
      <c r="C379">
        <v>245</v>
      </c>
      <c r="D379">
        <v>243.78948834339801</v>
      </c>
      <c r="E379">
        <v>9911</v>
      </c>
      <c r="F379">
        <v>1.00496539725658</v>
      </c>
      <c r="G379">
        <v>2.4720008071839401</v>
      </c>
      <c r="H379" t="s">
        <v>67</v>
      </c>
      <c r="I379" t="s">
        <v>98</v>
      </c>
      <c r="J379" t="s">
        <v>99</v>
      </c>
      <c r="K379">
        <v>1</v>
      </c>
      <c r="L379">
        <v>1.06382263469157</v>
      </c>
    </row>
    <row r="380" spans="1:12">
      <c r="A380" t="str">
        <f t="shared" si="5"/>
        <v>N101H13</v>
      </c>
      <c r="B380">
        <v>13</v>
      </c>
      <c r="C380">
        <v>415</v>
      </c>
      <c r="D380">
        <v>446.23116968463501</v>
      </c>
      <c r="E380">
        <v>14822</v>
      </c>
      <c r="F380">
        <v>0.93001123227965699</v>
      </c>
      <c r="G380">
        <v>2.7998920523546098</v>
      </c>
      <c r="H380" t="s">
        <v>67</v>
      </c>
      <c r="I380" t="s">
        <v>100</v>
      </c>
      <c r="J380" t="s">
        <v>101</v>
      </c>
      <c r="K380">
        <v>1</v>
      </c>
      <c r="L380">
        <v>0.90942487878343703</v>
      </c>
    </row>
    <row r="381" spans="1:12">
      <c r="A381" t="str">
        <f t="shared" si="5"/>
        <v>N411H13</v>
      </c>
      <c r="B381">
        <v>13</v>
      </c>
      <c r="C381">
        <v>86</v>
      </c>
      <c r="D381">
        <v>81.530898938600103</v>
      </c>
      <c r="E381">
        <v>3027</v>
      </c>
      <c r="F381">
        <v>1.0548148140101501</v>
      </c>
      <c r="G381">
        <v>2.8410967955071</v>
      </c>
      <c r="H381" t="s">
        <v>67</v>
      </c>
      <c r="I381" t="s">
        <v>102</v>
      </c>
      <c r="J381" t="s">
        <v>103</v>
      </c>
      <c r="K381">
        <v>1</v>
      </c>
      <c r="L381">
        <v>1.0617008672880599</v>
      </c>
    </row>
    <row r="382" spans="1:12">
      <c r="A382" t="str">
        <f t="shared" si="5"/>
        <v>R101H13</v>
      </c>
      <c r="B382">
        <v>13</v>
      </c>
      <c r="C382">
        <v>28</v>
      </c>
      <c r="D382">
        <v>25.3565183872788</v>
      </c>
      <c r="E382">
        <v>881</v>
      </c>
      <c r="F382">
        <v>1.1042525465186701</v>
      </c>
      <c r="G382">
        <v>3.1782065834279201</v>
      </c>
      <c r="H382" t="s">
        <v>67</v>
      </c>
      <c r="I382" t="s">
        <v>104</v>
      </c>
      <c r="J382" t="s">
        <v>105</v>
      </c>
      <c r="K382">
        <v>1</v>
      </c>
      <c r="L382">
        <v>1.2108516756601599</v>
      </c>
    </row>
    <row r="383" spans="1:12">
      <c r="A383" t="str">
        <f t="shared" si="5"/>
        <v>S116H13</v>
      </c>
      <c r="B383">
        <v>13</v>
      </c>
      <c r="C383">
        <v>266</v>
      </c>
      <c r="D383">
        <v>342.43219273309597</v>
      </c>
      <c r="E383">
        <v>7230</v>
      </c>
      <c r="F383">
        <v>0.77679612386014696</v>
      </c>
      <c r="G383">
        <v>3.6791147994467499</v>
      </c>
      <c r="H383" t="s">
        <v>67</v>
      </c>
      <c r="I383" t="s">
        <v>106</v>
      </c>
      <c r="J383" t="s">
        <v>107</v>
      </c>
      <c r="K383">
        <v>1</v>
      </c>
      <c r="L383">
        <v>0.75588837911005902</v>
      </c>
    </row>
    <row r="384" spans="1:12">
      <c r="A384" t="str">
        <f t="shared" ref="A384:A447" si="6">CONCATENATE(I384, B384)</f>
        <v>S308H13</v>
      </c>
      <c r="B384">
        <v>13</v>
      </c>
      <c r="C384">
        <v>171</v>
      </c>
      <c r="D384">
        <v>206.75670489134399</v>
      </c>
      <c r="E384">
        <v>7561</v>
      </c>
      <c r="F384">
        <v>0.82705903099909195</v>
      </c>
      <c r="G384">
        <v>2.2616056077238502</v>
      </c>
      <c r="H384" t="s">
        <v>67</v>
      </c>
      <c r="I384" t="s">
        <v>108</v>
      </c>
      <c r="J384" t="s">
        <v>109</v>
      </c>
      <c r="K384">
        <v>1</v>
      </c>
      <c r="L384">
        <v>0.85385833749870199</v>
      </c>
    </row>
    <row r="385" spans="1:12">
      <c r="A385" t="str">
        <f t="shared" si="6"/>
        <v>S314H13</v>
      </c>
      <c r="B385">
        <v>13</v>
      </c>
      <c r="C385">
        <v>372</v>
      </c>
      <c r="D385">
        <v>441.33861781217701</v>
      </c>
      <c r="E385">
        <v>11773</v>
      </c>
      <c r="F385">
        <v>0.84289020943622595</v>
      </c>
      <c r="G385">
        <v>3.1597723604858601</v>
      </c>
      <c r="H385" t="s">
        <v>67</v>
      </c>
      <c r="I385" t="s">
        <v>110</v>
      </c>
      <c r="J385" t="s">
        <v>111</v>
      </c>
      <c r="K385">
        <v>1</v>
      </c>
      <c r="L385">
        <v>0.86004549576810996</v>
      </c>
    </row>
    <row r="386" spans="1:12">
      <c r="A386" t="str">
        <f t="shared" si="6"/>
        <v>T101H13</v>
      </c>
      <c r="B386">
        <v>13</v>
      </c>
      <c r="C386">
        <v>374</v>
      </c>
      <c r="D386">
        <v>417.88062975565703</v>
      </c>
      <c r="E386">
        <v>12223</v>
      </c>
      <c r="F386">
        <v>0.89499242934204704</v>
      </c>
      <c r="G386">
        <v>3.05980528511822</v>
      </c>
      <c r="H386" t="s">
        <v>67</v>
      </c>
      <c r="I386" t="s">
        <v>112</v>
      </c>
      <c r="J386" t="s">
        <v>113</v>
      </c>
      <c r="K386">
        <v>1</v>
      </c>
      <c r="L386">
        <v>0.91173619637182102</v>
      </c>
    </row>
    <row r="387" spans="1:12">
      <c r="A387" t="str">
        <f t="shared" si="6"/>
        <v>T202H13</v>
      </c>
      <c r="B387">
        <v>13</v>
      </c>
      <c r="C387">
        <v>119</v>
      </c>
      <c r="D387">
        <v>134.61650664008801</v>
      </c>
      <c r="E387">
        <v>3135</v>
      </c>
      <c r="F387">
        <v>0.88399263188547905</v>
      </c>
      <c r="G387">
        <v>3.79585326953748</v>
      </c>
      <c r="H387" t="s">
        <v>67</v>
      </c>
      <c r="I387" t="s">
        <v>114</v>
      </c>
      <c r="J387" t="s">
        <v>115</v>
      </c>
      <c r="K387">
        <v>1</v>
      </c>
      <c r="L387">
        <v>0.892850378155844</v>
      </c>
    </row>
    <row r="388" spans="1:12">
      <c r="A388" t="str">
        <f t="shared" si="6"/>
        <v>T312H13</v>
      </c>
      <c r="B388">
        <v>13</v>
      </c>
      <c r="C388">
        <v>2</v>
      </c>
      <c r="D388">
        <v>2.69534123271265</v>
      </c>
      <c r="E388">
        <v>1411</v>
      </c>
      <c r="F388">
        <v>0.74202107537499296</v>
      </c>
      <c r="G388">
        <v>0.141743444365698</v>
      </c>
      <c r="H388" t="s">
        <v>67</v>
      </c>
      <c r="I388" t="s">
        <v>116</v>
      </c>
      <c r="J388" t="s">
        <v>117</v>
      </c>
      <c r="K388">
        <v>1</v>
      </c>
      <c r="L388">
        <v>0.63640745261327303</v>
      </c>
    </row>
    <row r="389" spans="1:12">
      <c r="A389" t="str">
        <f t="shared" si="6"/>
        <v>V217H13</v>
      </c>
      <c r="B389">
        <v>13</v>
      </c>
      <c r="C389">
        <v>294</v>
      </c>
      <c r="D389">
        <v>289.03312704181798</v>
      </c>
      <c r="E389">
        <v>8443</v>
      </c>
      <c r="F389">
        <v>1.01718444182858</v>
      </c>
      <c r="G389">
        <v>3.4821745824943702</v>
      </c>
      <c r="H389" t="s">
        <v>67</v>
      </c>
      <c r="I389" t="s">
        <v>118</v>
      </c>
      <c r="J389" t="s">
        <v>119</v>
      </c>
      <c r="K389">
        <v>1</v>
      </c>
      <c r="L389">
        <v>0.97352447582323398</v>
      </c>
    </row>
    <row r="390" spans="1:12">
      <c r="A390" t="str">
        <f t="shared" si="6"/>
        <v>W107H13</v>
      </c>
      <c r="B390">
        <v>13</v>
      </c>
      <c r="C390">
        <v>19</v>
      </c>
      <c r="D390">
        <v>24.013433625623598</v>
      </c>
      <c r="E390">
        <v>992</v>
      </c>
      <c r="F390">
        <v>0.79122379149169397</v>
      </c>
      <c r="G390">
        <v>1.9153225806451599</v>
      </c>
      <c r="H390" t="s">
        <v>67</v>
      </c>
      <c r="I390" t="s">
        <v>120</v>
      </c>
      <c r="J390" t="s">
        <v>121</v>
      </c>
      <c r="K390">
        <v>1</v>
      </c>
      <c r="L390">
        <v>1.2073748067319101</v>
      </c>
    </row>
    <row r="391" spans="1:12">
      <c r="A391" t="str">
        <f t="shared" si="6"/>
        <v>Z102H13</v>
      </c>
      <c r="B391">
        <v>13</v>
      </c>
      <c r="C391">
        <v>19</v>
      </c>
      <c r="D391">
        <v>21.697104555747501</v>
      </c>
      <c r="E391">
        <v>944</v>
      </c>
      <c r="F391">
        <v>0.87569288110228405</v>
      </c>
      <c r="G391">
        <v>2.0127118644067798</v>
      </c>
      <c r="H391" t="s">
        <v>67</v>
      </c>
      <c r="I391" t="s">
        <v>122</v>
      </c>
      <c r="J391" t="s">
        <v>123</v>
      </c>
      <c r="K391">
        <v>1</v>
      </c>
      <c r="L391">
        <v>1.02356030754137</v>
      </c>
    </row>
    <row r="392" spans="1:12">
      <c r="A392" t="str">
        <f t="shared" si="6"/>
        <v>A111H14</v>
      </c>
      <c r="B392">
        <v>14</v>
      </c>
      <c r="C392">
        <v>263</v>
      </c>
      <c r="D392">
        <v>303.00136798462398</v>
      </c>
      <c r="E392">
        <v>9381</v>
      </c>
      <c r="F392">
        <v>0.86798287991012002</v>
      </c>
      <c r="G392">
        <v>2.8035390683296</v>
      </c>
      <c r="H392" t="s">
        <v>67</v>
      </c>
      <c r="I392" t="s">
        <v>68</v>
      </c>
      <c r="J392" t="s">
        <v>69</v>
      </c>
      <c r="K392">
        <v>2</v>
      </c>
      <c r="L392">
        <v>0.89237966273861202</v>
      </c>
    </row>
    <row r="393" spans="1:12">
      <c r="A393" t="str">
        <f t="shared" si="6"/>
        <v>A210H14</v>
      </c>
      <c r="B393">
        <v>14</v>
      </c>
      <c r="C393">
        <v>182</v>
      </c>
      <c r="D393">
        <v>215.57154041309499</v>
      </c>
      <c r="E393">
        <v>7401</v>
      </c>
      <c r="F393">
        <v>0.84426728895306402</v>
      </c>
      <c r="G393">
        <v>2.45912714498041</v>
      </c>
      <c r="H393" t="s">
        <v>67</v>
      </c>
      <c r="I393" t="s">
        <v>70</v>
      </c>
      <c r="J393" t="s">
        <v>71</v>
      </c>
      <c r="K393">
        <v>2</v>
      </c>
      <c r="L393">
        <v>0.95113815138709301</v>
      </c>
    </row>
    <row r="394" spans="1:12">
      <c r="A394" t="str">
        <f t="shared" si="6"/>
        <v>B120H14</v>
      </c>
      <c r="B394">
        <v>14</v>
      </c>
      <c r="C394">
        <v>134</v>
      </c>
      <c r="D394">
        <v>145.07098898894199</v>
      </c>
      <c r="E394">
        <v>4356</v>
      </c>
      <c r="F394">
        <v>0.923685713690239</v>
      </c>
      <c r="G394">
        <v>3.0762167125803499</v>
      </c>
      <c r="H394" t="s">
        <v>67</v>
      </c>
      <c r="I394" t="s">
        <v>72</v>
      </c>
      <c r="J394" t="s">
        <v>73</v>
      </c>
      <c r="K394">
        <v>2</v>
      </c>
      <c r="L394">
        <v>0.935139608905734</v>
      </c>
    </row>
    <row r="395" spans="1:12">
      <c r="A395" t="str">
        <f t="shared" si="6"/>
        <v>C121H14</v>
      </c>
      <c r="B395">
        <v>14</v>
      </c>
      <c r="C395">
        <v>20</v>
      </c>
      <c r="D395">
        <v>20.721813381594099</v>
      </c>
      <c r="E395">
        <v>784</v>
      </c>
      <c r="F395">
        <v>0.96516649540743205</v>
      </c>
      <c r="G395">
        <v>2.5510204081632701</v>
      </c>
      <c r="H395" t="s">
        <v>67</v>
      </c>
      <c r="I395" t="s">
        <v>74</v>
      </c>
      <c r="J395" t="s">
        <v>75</v>
      </c>
      <c r="K395">
        <v>2</v>
      </c>
      <c r="L395">
        <v>1.08738249776944</v>
      </c>
    </row>
    <row r="396" spans="1:12">
      <c r="A396" t="str">
        <f t="shared" si="6"/>
        <v>C313H14</v>
      </c>
      <c r="B396">
        <v>14</v>
      </c>
      <c r="C396">
        <v>137</v>
      </c>
      <c r="D396">
        <v>132.14337664347201</v>
      </c>
      <c r="E396">
        <v>4902</v>
      </c>
      <c r="F396">
        <v>1.03675268091288</v>
      </c>
      <c r="G396">
        <v>2.7947776417788699</v>
      </c>
      <c r="H396" t="s">
        <v>67</v>
      </c>
      <c r="I396" t="s">
        <v>76</v>
      </c>
      <c r="J396" t="s">
        <v>77</v>
      </c>
      <c r="K396">
        <v>2</v>
      </c>
      <c r="L396">
        <v>1.09684453894352</v>
      </c>
    </row>
    <row r="397" spans="1:12">
      <c r="A397" t="str">
        <f t="shared" si="6"/>
        <v>C418H14</v>
      </c>
      <c r="B397">
        <v>14</v>
      </c>
      <c r="C397">
        <v>284</v>
      </c>
      <c r="D397">
        <v>277.25909469078601</v>
      </c>
      <c r="E397">
        <v>9702</v>
      </c>
      <c r="F397">
        <v>1.0243126571437899</v>
      </c>
      <c r="G397">
        <v>2.92723149866007</v>
      </c>
      <c r="H397" t="s">
        <v>67</v>
      </c>
      <c r="I397" t="s">
        <v>78</v>
      </c>
      <c r="J397" t="s">
        <v>79</v>
      </c>
      <c r="K397">
        <v>2</v>
      </c>
      <c r="L397">
        <v>1.0701214516270701</v>
      </c>
    </row>
    <row r="398" spans="1:12">
      <c r="A398" t="str">
        <f t="shared" si="6"/>
        <v>D102H14</v>
      </c>
      <c r="B398">
        <v>14</v>
      </c>
      <c r="C398">
        <v>18</v>
      </c>
      <c r="D398">
        <v>31.3669298215437</v>
      </c>
      <c r="E398">
        <v>4026</v>
      </c>
      <c r="F398">
        <v>0.57385278388441596</v>
      </c>
      <c r="G398">
        <v>0.447093889716841</v>
      </c>
      <c r="H398" t="s">
        <v>67</v>
      </c>
      <c r="I398" t="s">
        <v>80</v>
      </c>
      <c r="J398" t="s">
        <v>81</v>
      </c>
      <c r="K398">
        <v>2</v>
      </c>
      <c r="L398">
        <v>0.83440682652099496</v>
      </c>
    </row>
    <row r="399" spans="1:12">
      <c r="A399" t="str">
        <f t="shared" si="6"/>
        <v>F704H14</v>
      </c>
      <c r="B399">
        <v>14</v>
      </c>
      <c r="C399">
        <v>310</v>
      </c>
      <c r="D399">
        <v>381.341852903117</v>
      </c>
      <c r="E399">
        <v>8445</v>
      </c>
      <c r="F399">
        <v>0.81291890108573595</v>
      </c>
      <c r="G399">
        <v>3.67081113084665</v>
      </c>
      <c r="H399" t="s">
        <v>67</v>
      </c>
      <c r="I399" t="s">
        <v>82</v>
      </c>
      <c r="J399" t="s">
        <v>83</v>
      </c>
      <c r="K399">
        <v>2</v>
      </c>
      <c r="L399">
        <v>0.90489602282469495</v>
      </c>
    </row>
    <row r="400" spans="1:12">
      <c r="A400" t="str">
        <f t="shared" si="6"/>
        <v>G107H14</v>
      </c>
      <c r="B400">
        <v>14</v>
      </c>
      <c r="C400">
        <v>333</v>
      </c>
      <c r="D400">
        <v>379.37312688023002</v>
      </c>
      <c r="E400">
        <v>12917</v>
      </c>
      <c r="F400">
        <v>0.877763806673448</v>
      </c>
      <c r="G400">
        <v>2.57799798714872</v>
      </c>
      <c r="H400" t="s">
        <v>67</v>
      </c>
      <c r="I400" t="s">
        <v>84</v>
      </c>
      <c r="J400" t="s">
        <v>85</v>
      </c>
      <c r="K400">
        <v>2</v>
      </c>
      <c r="L400">
        <v>0.95544434750266605</v>
      </c>
    </row>
    <row r="401" spans="1:12">
      <c r="A401" t="str">
        <f t="shared" si="6"/>
        <v>G405H14</v>
      </c>
      <c r="B401">
        <v>14</v>
      </c>
      <c r="C401">
        <v>176</v>
      </c>
      <c r="D401">
        <v>174.33482668468901</v>
      </c>
      <c r="E401">
        <v>6955</v>
      </c>
      <c r="F401">
        <v>1.0095515815570399</v>
      </c>
      <c r="G401">
        <v>2.53055355859094</v>
      </c>
      <c r="H401" t="s">
        <v>67</v>
      </c>
      <c r="I401" t="s">
        <v>86</v>
      </c>
      <c r="J401" t="s">
        <v>87</v>
      </c>
      <c r="K401">
        <v>2</v>
      </c>
      <c r="L401">
        <v>0.89557108385742901</v>
      </c>
    </row>
    <row r="402" spans="1:12">
      <c r="A402" t="str">
        <f t="shared" si="6"/>
        <v>H103H14</v>
      </c>
      <c r="B402">
        <v>14</v>
      </c>
      <c r="C402">
        <v>28</v>
      </c>
      <c r="D402">
        <v>28.421706149744299</v>
      </c>
      <c r="E402">
        <v>855</v>
      </c>
      <c r="F402">
        <v>0.98516253220258998</v>
      </c>
      <c r="G402">
        <v>3.27485380116959</v>
      </c>
      <c r="H402" t="s">
        <v>67</v>
      </c>
      <c r="I402" t="s">
        <v>88</v>
      </c>
      <c r="J402" t="s">
        <v>89</v>
      </c>
      <c r="K402">
        <v>2</v>
      </c>
      <c r="L402">
        <v>0.98228647583759199</v>
      </c>
    </row>
    <row r="403" spans="1:12">
      <c r="A403" t="str">
        <f t="shared" si="6"/>
        <v>H202H14</v>
      </c>
      <c r="B403">
        <v>14</v>
      </c>
      <c r="C403">
        <v>143</v>
      </c>
      <c r="D403">
        <v>185.65032123895801</v>
      </c>
      <c r="E403">
        <v>7577</v>
      </c>
      <c r="F403">
        <v>0.770265297930398</v>
      </c>
      <c r="G403">
        <v>1.88729048436056</v>
      </c>
      <c r="H403" t="s">
        <v>67</v>
      </c>
      <c r="I403" t="s">
        <v>90</v>
      </c>
      <c r="J403" t="s">
        <v>91</v>
      </c>
      <c r="K403">
        <v>2</v>
      </c>
      <c r="L403">
        <v>0.79584164893244203</v>
      </c>
    </row>
    <row r="404" spans="1:12">
      <c r="A404" t="str">
        <f t="shared" si="6"/>
        <v>H212H14</v>
      </c>
      <c r="B404">
        <v>14</v>
      </c>
      <c r="C404">
        <v>17</v>
      </c>
      <c r="D404">
        <v>15.9703746692139</v>
      </c>
      <c r="E404">
        <v>432</v>
      </c>
      <c r="F404">
        <v>1.06447095651243</v>
      </c>
      <c r="G404">
        <v>3.93518518518519</v>
      </c>
      <c r="H404" t="s">
        <v>67</v>
      </c>
      <c r="I404" t="s">
        <v>92</v>
      </c>
      <c r="J404" t="s">
        <v>93</v>
      </c>
      <c r="K404">
        <v>2</v>
      </c>
      <c r="L404">
        <v>1.0980214927818801</v>
      </c>
    </row>
    <row r="405" spans="1:12">
      <c r="A405" t="str">
        <f t="shared" si="6"/>
        <v>L106H14</v>
      </c>
      <c r="B405">
        <v>14</v>
      </c>
      <c r="C405">
        <v>202</v>
      </c>
      <c r="D405">
        <v>256.40805995399802</v>
      </c>
      <c r="E405">
        <v>7852</v>
      </c>
      <c r="F405">
        <v>0.78780674849394605</v>
      </c>
      <c r="G405">
        <v>2.57259296994396</v>
      </c>
      <c r="H405" t="s">
        <v>67</v>
      </c>
      <c r="I405" t="s">
        <v>94</v>
      </c>
      <c r="J405" t="s">
        <v>95</v>
      </c>
      <c r="K405">
        <v>2</v>
      </c>
      <c r="L405">
        <v>0.93576992299480599</v>
      </c>
    </row>
    <row r="406" spans="1:12">
      <c r="A406" t="str">
        <f t="shared" si="6"/>
        <v>L302H14</v>
      </c>
      <c r="B406">
        <v>14</v>
      </c>
      <c r="C406">
        <v>175</v>
      </c>
      <c r="D406">
        <v>224.84765637078499</v>
      </c>
      <c r="E406">
        <v>7150</v>
      </c>
      <c r="F406">
        <v>0.77830475453751902</v>
      </c>
      <c r="G406">
        <v>2.4475524475524502</v>
      </c>
      <c r="H406" t="s">
        <v>67</v>
      </c>
      <c r="I406" t="s">
        <v>96</v>
      </c>
      <c r="J406" t="s">
        <v>97</v>
      </c>
      <c r="K406">
        <v>2</v>
      </c>
      <c r="L406">
        <v>0.91475773636847901</v>
      </c>
    </row>
    <row r="407" spans="1:12">
      <c r="A407" t="str">
        <f t="shared" si="6"/>
        <v>L308H14</v>
      </c>
      <c r="B407">
        <v>14</v>
      </c>
      <c r="C407">
        <v>239</v>
      </c>
      <c r="D407">
        <v>250.54481652800101</v>
      </c>
      <c r="E407">
        <v>9644</v>
      </c>
      <c r="F407">
        <v>0.95392115196001104</v>
      </c>
      <c r="G407">
        <v>2.4782248029863099</v>
      </c>
      <c r="H407" t="s">
        <v>67</v>
      </c>
      <c r="I407" t="s">
        <v>98</v>
      </c>
      <c r="J407" t="s">
        <v>99</v>
      </c>
      <c r="K407">
        <v>2</v>
      </c>
      <c r="L407">
        <v>1.0447721415292299</v>
      </c>
    </row>
    <row r="408" spans="1:12">
      <c r="A408" t="str">
        <f t="shared" si="6"/>
        <v>N101H14</v>
      </c>
      <c r="B408">
        <v>14</v>
      </c>
      <c r="C408">
        <v>370</v>
      </c>
      <c r="D408">
        <v>436.43041044909199</v>
      </c>
      <c r="E408">
        <v>14836</v>
      </c>
      <c r="F408">
        <v>0.84778693496464996</v>
      </c>
      <c r="G408">
        <v>2.4939336748449699</v>
      </c>
      <c r="H408" t="s">
        <v>67</v>
      </c>
      <c r="I408" t="s">
        <v>100</v>
      </c>
      <c r="J408" t="s">
        <v>101</v>
      </c>
      <c r="K408">
        <v>2</v>
      </c>
      <c r="L408">
        <v>0.90825129927027004</v>
      </c>
    </row>
    <row r="409" spans="1:12">
      <c r="A409" t="str">
        <f t="shared" si="6"/>
        <v>N411H14</v>
      </c>
      <c r="B409">
        <v>14</v>
      </c>
      <c r="C409">
        <v>68</v>
      </c>
      <c r="D409">
        <v>75.139470366130396</v>
      </c>
      <c r="E409">
        <v>3060</v>
      </c>
      <c r="F409">
        <v>0.90498375445898005</v>
      </c>
      <c r="G409">
        <v>2.2222222222222201</v>
      </c>
      <c r="H409" t="s">
        <v>67</v>
      </c>
      <c r="I409" t="s">
        <v>102</v>
      </c>
      <c r="J409" t="s">
        <v>103</v>
      </c>
      <c r="K409">
        <v>2</v>
      </c>
      <c r="L409">
        <v>1.0599164368008001</v>
      </c>
    </row>
    <row r="410" spans="1:12">
      <c r="A410" t="str">
        <f t="shared" si="6"/>
        <v>R101H14</v>
      </c>
      <c r="B410">
        <v>14</v>
      </c>
      <c r="C410">
        <v>30</v>
      </c>
      <c r="D410">
        <v>24.5935051061827</v>
      </c>
      <c r="E410">
        <v>814</v>
      </c>
      <c r="F410">
        <v>1.2198342558522901</v>
      </c>
      <c r="G410">
        <v>3.68550368550369</v>
      </c>
      <c r="H410" t="s">
        <v>67</v>
      </c>
      <c r="I410" t="s">
        <v>104</v>
      </c>
      <c r="J410" t="s">
        <v>105</v>
      </c>
      <c r="K410">
        <v>2</v>
      </c>
      <c r="L410">
        <v>1.1892520516601801</v>
      </c>
    </row>
    <row r="411" spans="1:12">
      <c r="A411" t="str">
        <f t="shared" si="6"/>
        <v>S116H14</v>
      </c>
      <c r="B411">
        <v>14</v>
      </c>
      <c r="C411">
        <v>221</v>
      </c>
      <c r="D411">
        <v>332.17352942997798</v>
      </c>
      <c r="E411">
        <v>7043</v>
      </c>
      <c r="F411">
        <v>0.66531490446949304</v>
      </c>
      <c r="G411">
        <v>3.13786738605708</v>
      </c>
      <c r="H411" t="s">
        <v>67</v>
      </c>
      <c r="I411" t="s">
        <v>106</v>
      </c>
      <c r="J411" t="s">
        <v>107</v>
      </c>
      <c r="K411">
        <v>2</v>
      </c>
      <c r="L411">
        <v>0.75110213798324799</v>
      </c>
    </row>
    <row r="412" spans="1:12">
      <c r="A412" t="str">
        <f t="shared" si="6"/>
        <v>S308H14</v>
      </c>
      <c r="B412">
        <v>14</v>
      </c>
      <c r="C412">
        <v>141</v>
      </c>
      <c r="D412">
        <v>181.495253532139</v>
      </c>
      <c r="E412">
        <v>7322</v>
      </c>
      <c r="F412">
        <v>0.77687982057906702</v>
      </c>
      <c r="G412">
        <v>1.92570335973778</v>
      </c>
      <c r="H412" t="s">
        <v>67</v>
      </c>
      <c r="I412" t="s">
        <v>108</v>
      </c>
      <c r="J412" t="s">
        <v>109</v>
      </c>
      <c r="K412">
        <v>2</v>
      </c>
      <c r="L412">
        <v>0.84785475357587103</v>
      </c>
    </row>
    <row r="413" spans="1:12">
      <c r="A413" t="str">
        <f t="shared" si="6"/>
        <v>S314H14</v>
      </c>
      <c r="B413">
        <v>14</v>
      </c>
      <c r="C413">
        <v>327</v>
      </c>
      <c r="D413">
        <v>429.80807841905801</v>
      </c>
      <c r="E413">
        <v>11998</v>
      </c>
      <c r="F413">
        <v>0.760804685669912</v>
      </c>
      <c r="G413">
        <v>2.72545424237373</v>
      </c>
      <c r="H413" t="s">
        <v>67</v>
      </c>
      <c r="I413" t="s">
        <v>110</v>
      </c>
      <c r="J413" t="s">
        <v>111</v>
      </c>
      <c r="K413">
        <v>2</v>
      </c>
      <c r="L413">
        <v>0.85919210481856501</v>
      </c>
    </row>
    <row r="414" spans="1:12">
      <c r="A414" t="str">
        <f t="shared" si="6"/>
        <v>T101H14</v>
      </c>
      <c r="B414">
        <v>14</v>
      </c>
      <c r="C414">
        <v>349</v>
      </c>
      <c r="D414">
        <v>425.12084733388502</v>
      </c>
      <c r="E414">
        <v>11971</v>
      </c>
      <c r="F414">
        <v>0.82094303817074199</v>
      </c>
      <c r="G414">
        <v>2.9153788321777601</v>
      </c>
      <c r="H414" t="s">
        <v>67</v>
      </c>
      <c r="I414" t="s">
        <v>112</v>
      </c>
      <c r="J414" t="s">
        <v>113</v>
      </c>
      <c r="K414">
        <v>2</v>
      </c>
      <c r="L414">
        <v>0.90655485616931497</v>
      </c>
    </row>
    <row r="415" spans="1:12">
      <c r="A415" t="str">
        <f t="shared" si="6"/>
        <v>T202H14</v>
      </c>
      <c r="B415">
        <v>14</v>
      </c>
      <c r="C415">
        <v>114</v>
      </c>
      <c r="D415">
        <v>135.185052196783</v>
      </c>
      <c r="E415">
        <v>3006</v>
      </c>
      <c r="F415">
        <v>0.84328850081779005</v>
      </c>
      <c r="G415">
        <v>3.7924151696606798</v>
      </c>
      <c r="H415" t="s">
        <v>67</v>
      </c>
      <c r="I415" t="s">
        <v>114</v>
      </c>
      <c r="J415" t="s">
        <v>115</v>
      </c>
      <c r="K415">
        <v>2</v>
      </c>
      <c r="L415">
        <v>0.89325929823446504</v>
      </c>
    </row>
    <row r="416" spans="1:12">
      <c r="A416" t="str">
        <f t="shared" si="6"/>
        <v>T312H14</v>
      </c>
      <c r="B416">
        <v>14</v>
      </c>
      <c r="C416">
        <v>0</v>
      </c>
      <c r="D416">
        <v>1.6711213213601801</v>
      </c>
      <c r="E416">
        <v>1231</v>
      </c>
      <c r="F416">
        <v>0</v>
      </c>
      <c r="G416">
        <v>0</v>
      </c>
      <c r="H416" t="s">
        <v>67</v>
      </c>
      <c r="I416" t="s">
        <v>116</v>
      </c>
      <c r="J416" t="s">
        <v>117</v>
      </c>
      <c r="K416">
        <v>2</v>
      </c>
      <c r="L416">
        <v>0.64462256203749102</v>
      </c>
    </row>
    <row r="417" spans="1:12">
      <c r="A417" t="str">
        <f t="shared" si="6"/>
        <v>V217H14</v>
      </c>
      <c r="B417">
        <v>14</v>
      </c>
      <c r="C417">
        <v>267</v>
      </c>
      <c r="D417">
        <v>279.214601441848</v>
      </c>
      <c r="E417">
        <v>8528</v>
      </c>
      <c r="F417">
        <v>0.95625371531870995</v>
      </c>
      <c r="G417">
        <v>3.13086303939963</v>
      </c>
      <c r="H417" t="s">
        <v>67</v>
      </c>
      <c r="I417" t="s">
        <v>118</v>
      </c>
      <c r="J417" t="s">
        <v>119</v>
      </c>
      <c r="K417">
        <v>2</v>
      </c>
      <c r="L417">
        <v>0.97375868114761799</v>
      </c>
    </row>
    <row r="418" spans="1:12">
      <c r="A418" t="str">
        <f t="shared" si="6"/>
        <v>W107H14</v>
      </c>
      <c r="B418">
        <v>14</v>
      </c>
      <c r="C418">
        <v>24</v>
      </c>
      <c r="D418">
        <v>19.568445127531799</v>
      </c>
      <c r="E418">
        <v>912</v>
      </c>
      <c r="F418">
        <v>1.22646433293942</v>
      </c>
      <c r="G418">
        <v>2.6315789473684199</v>
      </c>
      <c r="H418" t="s">
        <v>67</v>
      </c>
      <c r="I418" t="s">
        <v>120</v>
      </c>
      <c r="J418" t="s">
        <v>121</v>
      </c>
      <c r="K418">
        <v>2</v>
      </c>
      <c r="L418">
        <v>1.1893128139206399</v>
      </c>
    </row>
    <row r="419" spans="1:12">
      <c r="A419" t="str">
        <f t="shared" si="6"/>
        <v>Z102H14</v>
      </c>
      <c r="B419">
        <v>14</v>
      </c>
      <c r="C419">
        <v>24</v>
      </c>
      <c r="D419">
        <v>22.256223739792201</v>
      </c>
      <c r="E419">
        <v>924</v>
      </c>
      <c r="F419">
        <v>1.0783500507810799</v>
      </c>
      <c r="G419">
        <v>2.5974025974026</v>
      </c>
      <c r="H419" t="s">
        <v>67</v>
      </c>
      <c r="I419" t="s">
        <v>122</v>
      </c>
      <c r="J419" t="s">
        <v>123</v>
      </c>
      <c r="K419">
        <v>2</v>
      </c>
      <c r="L419">
        <v>1.0238732334270499</v>
      </c>
    </row>
    <row r="420" spans="1:12">
      <c r="A420" t="str">
        <f t="shared" si="6"/>
        <v>A111H15</v>
      </c>
      <c r="B420">
        <v>15</v>
      </c>
      <c r="C420">
        <v>257</v>
      </c>
      <c r="D420">
        <v>298.57575695863301</v>
      </c>
      <c r="E420">
        <v>9204</v>
      </c>
      <c r="F420">
        <v>0.86075307191001005</v>
      </c>
      <c r="G420">
        <v>2.7922642329422001</v>
      </c>
      <c r="H420" t="s">
        <v>67</v>
      </c>
      <c r="I420" t="s">
        <v>68</v>
      </c>
      <c r="J420" t="s">
        <v>69</v>
      </c>
      <c r="K420">
        <v>3</v>
      </c>
      <c r="L420">
        <v>0.88379609351989796</v>
      </c>
    </row>
    <row r="421" spans="1:12">
      <c r="A421" t="str">
        <f t="shared" si="6"/>
        <v>A210H15</v>
      </c>
      <c r="B421">
        <v>15</v>
      </c>
      <c r="C421">
        <v>202</v>
      </c>
      <c r="D421">
        <v>227.36973045287601</v>
      </c>
      <c r="E421">
        <v>7345</v>
      </c>
      <c r="F421">
        <v>0.88842080956711</v>
      </c>
      <c r="G421">
        <v>2.7501701837985002</v>
      </c>
      <c r="H421" t="s">
        <v>67</v>
      </c>
      <c r="I421" t="s">
        <v>70</v>
      </c>
      <c r="J421" t="s">
        <v>71</v>
      </c>
      <c r="K421">
        <v>3</v>
      </c>
      <c r="L421">
        <v>0.94259735835277603</v>
      </c>
    </row>
    <row r="422" spans="1:12">
      <c r="A422" t="str">
        <f t="shared" si="6"/>
        <v>B120H15</v>
      </c>
      <c r="B422">
        <v>15</v>
      </c>
      <c r="C422">
        <v>164</v>
      </c>
      <c r="D422">
        <v>152.20144699710499</v>
      </c>
      <c r="E422">
        <v>4242</v>
      </c>
      <c r="F422">
        <v>1.0775193221593899</v>
      </c>
      <c r="G422">
        <v>3.8661008958038701</v>
      </c>
      <c r="H422" t="s">
        <v>67</v>
      </c>
      <c r="I422" t="s">
        <v>72</v>
      </c>
      <c r="J422" t="s">
        <v>73</v>
      </c>
      <c r="K422">
        <v>3</v>
      </c>
      <c r="L422">
        <v>0.93535171357161495</v>
      </c>
    </row>
    <row r="423" spans="1:12">
      <c r="A423" t="str">
        <f t="shared" si="6"/>
        <v>C121H15</v>
      </c>
      <c r="B423">
        <v>15</v>
      </c>
      <c r="C423">
        <v>28</v>
      </c>
      <c r="D423">
        <v>20.671761845379901</v>
      </c>
      <c r="E423">
        <v>821</v>
      </c>
      <c r="F423">
        <v>1.3545047688452301</v>
      </c>
      <c r="G423">
        <v>3.4104750304506699</v>
      </c>
      <c r="H423" t="s">
        <v>67</v>
      </c>
      <c r="I423" t="s">
        <v>74</v>
      </c>
      <c r="J423" t="s">
        <v>75</v>
      </c>
      <c r="K423">
        <v>3</v>
      </c>
      <c r="L423">
        <v>1.0843392837930499</v>
      </c>
    </row>
    <row r="424" spans="1:12">
      <c r="A424" t="str">
        <f t="shared" si="6"/>
        <v>C313H15</v>
      </c>
      <c r="B424">
        <v>15</v>
      </c>
      <c r="C424">
        <v>128</v>
      </c>
      <c r="D424">
        <v>136.62613427193401</v>
      </c>
      <c r="E424">
        <v>4789</v>
      </c>
      <c r="F424">
        <v>0.93686321934012096</v>
      </c>
      <c r="G424">
        <v>2.6727918145750702</v>
      </c>
      <c r="H424" t="s">
        <v>67</v>
      </c>
      <c r="I424" t="s">
        <v>76</v>
      </c>
      <c r="J424" t="s">
        <v>77</v>
      </c>
      <c r="K424">
        <v>3</v>
      </c>
      <c r="L424">
        <v>1.0833586140115301</v>
      </c>
    </row>
    <row r="425" spans="1:12">
      <c r="A425" t="str">
        <f t="shared" si="6"/>
        <v>C418H15</v>
      </c>
      <c r="B425">
        <v>15</v>
      </c>
      <c r="C425">
        <v>291</v>
      </c>
      <c r="D425">
        <v>266.66346275905403</v>
      </c>
      <c r="E425">
        <v>9563</v>
      </c>
      <c r="F425">
        <v>1.0912631111482101</v>
      </c>
      <c r="G425">
        <v>3.0429781449336</v>
      </c>
      <c r="H425" t="s">
        <v>67</v>
      </c>
      <c r="I425" t="s">
        <v>78</v>
      </c>
      <c r="J425" t="s">
        <v>79</v>
      </c>
      <c r="K425">
        <v>3</v>
      </c>
      <c r="L425">
        <v>1.0656795353470101</v>
      </c>
    </row>
    <row r="426" spans="1:12">
      <c r="A426" t="str">
        <f t="shared" si="6"/>
        <v>D102H15</v>
      </c>
      <c r="B426">
        <v>15</v>
      </c>
      <c r="C426">
        <v>24</v>
      </c>
      <c r="D426">
        <v>31.680333353384999</v>
      </c>
      <c r="E426">
        <v>4197</v>
      </c>
      <c r="F426">
        <v>0.75756778605473896</v>
      </c>
      <c r="G426">
        <v>0.57183702644746204</v>
      </c>
      <c r="H426" t="s">
        <v>67</v>
      </c>
      <c r="I426" t="s">
        <v>80</v>
      </c>
      <c r="J426" t="s">
        <v>81</v>
      </c>
      <c r="K426">
        <v>3</v>
      </c>
      <c r="L426">
        <v>0.84418687911275203</v>
      </c>
    </row>
    <row r="427" spans="1:12">
      <c r="A427" t="str">
        <f t="shared" si="6"/>
        <v>F704H15</v>
      </c>
      <c r="B427">
        <v>15</v>
      </c>
      <c r="C427">
        <v>334</v>
      </c>
      <c r="D427">
        <v>413.46026720167902</v>
      </c>
      <c r="E427">
        <v>8472</v>
      </c>
      <c r="F427">
        <v>0.80781643726138297</v>
      </c>
      <c r="G427">
        <v>3.9423984891406998</v>
      </c>
      <c r="H427" t="s">
        <v>67</v>
      </c>
      <c r="I427" t="s">
        <v>82</v>
      </c>
      <c r="J427" t="s">
        <v>83</v>
      </c>
      <c r="K427">
        <v>3</v>
      </c>
      <c r="L427">
        <v>0.90435208844661896</v>
      </c>
    </row>
    <row r="428" spans="1:12">
      <c r="A428" t="str">
        <f t="shared" si="6"/>
        <v>G107H15</v>
      </c>
      <c r="B428">
        <v>15</v>
      </c>
      <c r="C428">
        <v>327</v>
      </c>
      <c r="D428">
        <v>356.51762397400603</v>
      </c>
      <c r="E428">
        <v>12531</v>
      </c>
      <c r="F428">
        <v>0.91720570880905905</v>
      </c>
      <c r="G428">
        <v>2.6095283696432801</v>
      </c>
      <c r="H428" t="s">
        <v>67</v>
      </c>
      <c r="I428" t="s">
        <v>84</v>
      </c>
      <c r="J428" t="s">
        <v>85</v>
      </c>
      <c r="K428">
        <v>3</v>
      </c>
      <c r="L428">
        <v>0.95052458172864596</v>
      </c>
    </row>
    <row r="429" spans="1:12">
      <c r="A429" t="str">
        <f t="shared" si="6"/>
        <v>G405H15</v>
      </c>
      <c r="B429">
        <v>15</v>
      </c>
      <c r="C429">
        <v>140</v>
      </c>
      <c r="D429">
        <v>149.226231090754</v>
      </c>
      <c r="E429">
        <v>6851</v>
      </c>
      <c r="F429">
        <v>0.93817285993678101</v>
      </c>
      <c r="G429">
        <v>2.04349729966428</v>
      </c>
      <c r="H429" t="s">
        <v>67</v>
      </c>
      <c r="I429" t="s">
        <v>86</v>
      </c>
      <c r="J429" t="s">
        <v>87</v>
      </c>
      <c r="K429">
        <v>3</v>
      </c>
      <c r="L429">
        <v>0.89562822444004597</v>
      </c>
    </row>
    <row r="430" spans="1:12">
      <c r="A430" t="str">
        <f t="shared" si="6"/>
        <v>H103H15</v>
      </c>
      <c r="B430">
        <v>15</v>
      </c>
      <c r="C430">
        <v>35</v>
      </c>
      <c r="D430">
        <v>30.4445290245995</v>
      </c>
      <c r="E430">
        <v>792</v>
      </c>
      <c r="F430">
        <v>1.1496318426118399</v>
      </c>
      <c r="G430">
        <v>4.4191919191919196</v>
      </c>
      <c r="H430" t="s">
        <v>67</v>
      </c>
      <c r="I430" t="s">
        <v>88</v>
      </c>
      <c r="J430" t="s">
        <v>89</v>
      </c>
      <c r="K430">
        <v>3</v>
      </c>
      <c r="L430">
        <v>0.97581321680978605</v>
      </c>
    </row>
    <row r="431" spans="1:12">
      <c r="A431" t="str">
        <f t="shared" si="6"/>
        <v>H202H15</v>
      </c>
      <c r="B431">
        <v>15</v>
      </c>
      <c r="C431">
        <v>173</v>
      </c>
      <c r="D431">
        <v>199.13281431856001</v>
      </c>
      <c r="E431">
        <v>7192</v>
      </c>
      <c r="F431">
        <v>0.86876691112920201</v>
      </c>
      <c r="G431">
        <v>2.4054505005561699</v>
      </c>
      <c r="H431" t="s">
        <v>67</v>
      </c>
      <c r="I431" t="s">
        <v>90</v>
      </c>
      <c r="J431" t="s">
        <v>91</v>
      </c>
      <c r="K431">
        <v>3</v>
      </c>
      <c r="L431">
        <v>0.79930220030543697</v>
      </c>
    </row>
    <row r="432" spans="1:12">
      <c r="A432" t="str">
        <f t="shared" si="6"/>
        <v>H212H15</v>
      </c>
      <c r="B432">
        <v>15</v>
      </c>
      <c r="C432">
        <v>17</v>
      </c>
      <c r="D432">
        <v>17.631227357543001</v>
      </c>
      <c r="E432">
        <v>406</v>
      </c>
      <c r="F432">
        <v>0.96419833147503897</v>
      </c>
      <c r="G432">
        <v>4.1871921182265996</v>
      </c>
      <c r="H432" t="s">
        <v>67</v>
      </c>
      <c r="I432" t="s">
        <v>92</v>
      </c>
      <c r="J432" t="s">
        <v>93</v>
      </c>
      <c r="K432">
        <v>3</v>
      </c>
      <c r="L432">
        <v>1.0989338061728999</v>
      </c>
    </row>
    <row r="433" spans="1:12">
      <c r="A433" t="str">
        <f t="shared" si="6"/>
        <v>L106H15</v>
      </c>
      <c r="B433">
        <v>15</v>
      </c>
      <c r="C433">
        <v>240</v>
      </c>
      <c r="D433">
        <v>266.08125738382603</v>
      </c>
      <c r="E433">
        <v>7732</v>
      </c>
      <c r="F433">
        <v>0.90198010322011002</v>
      </c>
      <c r="G433">
        <v>3.10398344542162</v>
      </c>
      <c r="H433" t="s">
        <v>67</v>
      </c>
      <c r="I433" t="s">
        <v>94</v>
      </c>
      <c r="J433" t="s">
        <v>95</v>
      </c>
      <c r="K433">
        <v>3</v>
      </c>
      <c r="L433">
        <v>0.92606820179464</v>
      </c>
    </row>
    <row r="434" spans="1:12">
      <c r="A434" t="str">
        <f t="shared" si="6"/>
        <v>L302H15</v>
      </c>
      <c r="B434">
        <v>15</v>
      </c>
      <c r="C434">
        <v>190</v>
      </c>
      <c r="D434">
        <v>233.06674007174601</v>
      </c>
      <c r="E434">
        <v>7193</v>
      </c>
      <c r="F434">
        <v>0.81521713454914702</v>
      </c>
      <c r="G434">
        <v>2.64145697205617</v>
      </c>
      <c r="H434" t="s">
        <v>67</v>
      </c>
      <c r="I434" t="s">
        <v>96</v>
      </c>
      <c r="J434" t="s">
        <v>97</v>
      </c>
      <c r="K434">
        <v>3</v>
      </c>
      <c r="L434">
        <v>0.90575903285791404</v>
      </c>
    </row>
    <row r="435" spans="1:12">
      <c r="A435" t="str">
        <f t="shared" si="6"/>
        <v>L308H15</v>
      </c>
      <c r="B435">
        <v>15</v>
      </c>
      <c r="C435">
        <v>242</v>
      </c>
      <c r="D435">
        <v>256.32052692160602</v>
      </c>
      <c r="E435">
        <v>9539</v>
      </c>
      <c r="F435">
        <v>0.94413039371604501</v>
      </c>
      <c r="G435">
        <v>2.5369535590732801</v>
      </c>
      <c r="H435" t="s">
        <v>67</v>
      </c>
      <c r="I435" t="s">
        <v>98</v>
      </c>
      <c r="J435" t="s">
        <v>99</v>
      </c>
      <c r="K435">
        <v>3</v>
      </c>
      <c r="L435">
        <v>1.0257216483668901</v>
      </c>
    </row>
    <row r="436" spans="1:12">
      <c r="A436" t="str">
        <f t="shared" si="6"/>
        <v>N101H15</v>
      </c>
      <c r="B436">
        <v>15</v>
      </c>
      <c r="C436">
        <v>421</v>
      </c>
      <c r="D436">
        <v>440.69975396740199</v>
      </c>
      <c r="E436">
        <v>15171</v>
      </c>
      <c r="F436">
        <v>0.95529892224795898</v>
      </c>
      <c r="G436">
        <v>2.77503130973568</v>
      </c>
      <c r="H436" t="s">
        <v>67</v>
      </c>
      <c r="I436" t="s">
        <v>100</v>
      </c>
      <c r="J436" t="s">
        <v>101</v>
      </c>
      <c r="K436">
        <v>3</v>
      </c>
      <c r="L436">
        <v>0.90707771975710305</v>
      </c>
    </row>
    <row r="437" spans="1:12">
      <c r="A437" t="str">
        <f t="shared" si="6"/>
        <v>N411H15</v>
      </c>
      <c r="B437">
        <v>15</v>
      </c>
      <c r="C437">
        <v>73</v>
      </c>
      <c r="D437">
        <v>76.405869185165997</v>
      </c>
      <c r="E437">
        <v>3017</v>
      </c>
      <c r="F437">
        <v>0.95542398481310298</v>
      </c>
      <c r="G437">
        <v>2.41962214119987</v>
      </c>
      <c r="H437" t="s">
        <v>67</v>
      </c>
      <c r="I437" t="s">
        <v>102</v>
      </c>
      <c r="J437" t="s">
        <v>103</v>
      </c>
      <c r="K437">
        <v>3</v>
      </c>
      <c r="L437">
        <v>1.05813200631354</v>
      </c>
    </row>
    <row r="438" spans="1:12">
      <c r="A438" t="str">
        <f t="shared" si="6"/>
        <v>R101H15</v>
      </c>
      <c r="B438">
        <v>15</v>
      </c>
      <c r="C438">
        <v>19</v>
      </c>
      <c r="D438">
        <v>18.622299433332099</v>
      </c>
      <c r="E438">
        <v>792</v>
      </c>
      <c r="F438">
        <v>1.02028216590653</v>
      </c>
      <c r="G438">
        <v>2.3989898989899001</v>
      </c>
      <c r="H438" t="s">
        <v>67</v>
      </c>
      <c r="I438" t="s">
        <v>104</v>
      </c>
      <c r="J438" t="s">
        <v>105</v>
      </c>
      <c r="K438">
        <v>3</v>
      </c>
      <c r="L438">
        <v>1.1676524276602001</v>
      </c>
    </row>
    <row r="439" spans="1:12">
      <c r="A439" t="str">
        <f t="shared" si="6"/>
        <v>S116H15</v>
      </c>
      <c r="B439">
        <v>15</v>
      </c>
      <c r="C439">
        <v>228</v>
      </c>
      <c r="D439">
        <v>326.62543611047602</v>
      </c>
      <c r="E439">
        <v>6942</v>
      </c>
      <c r="F439">
        <v>0.69804728840188301</v>
      </c>
      <c r="G439">
        <v>3.2843560933448601</v>
      </c>
      <c r="H439" t="s">
        <v>67</v>
      </c>
      <c r="I439" t="s">
        <v>106</v>
      </c>
      <c r="J439" t="s">
        <v>107</v>
      </c>
      <c r="K439">
        <v>3</v>
      </c>
      <c r="L439">
        <v>0.74631589685643596</v>
      </c>
    </row>
    <row r="440" spans="1:12">
      <c r="A440" t="str">
        <f t="shared" si="6"/>
        <v>S308H15</v>
      </c>
      <c r="B440">
        <v>15</v>
      </c>
      <c r="C440">
        <v>144</v>
      </c>
      <c r="D440">
        <v>178.39794714672701</v>
      </c>
      <c r="E440">
        <v>7278</v>
      </c>
      <c r="F440">
        <v>0.80718417618093197</v>
      </c>
      <c r="G440">
        <v>1.97856553998351</v>
      </c>
      <c r="H440" t="s">
        <v>67</v>
      </c>
      <c r="I440" t="s">
        <v>108</v>
      </c>
      <c r="J440" t="s">
        <v>109</v>
      </c>
      <c r="K440">
        <v>3</v>
      </c>
      <c r="L440">
        <v>0.84185116965303997</v>
      </c>
    </row>
    <row r="441" spans="1:12">
      <c r="A441" t="str">
        <f t="shared" si="6"/>
        <v>S314H15</v>
      </c>
      <c r="B441">
        <v>15</v>
      </c>
      <c r="C441">
        <v>348</v>
      </c>
      <c r="D441">
        <v>414.97918471797402</v>
      </c>
      <c r="E441">
        <v>11764</v>
      </c>
      <c r="F441">
        <v>0.83859627859769803</v>
      </c>
      <c r="G441">
        <v>2.9581774906494398</v>
      </c>
      <c r="H441" t="s">
        <v>67</v>
      </c>
      <c r="I441" t="s">
        <v>110</v>
      </c>
      <c r="J441" t="s">
        <v>111</v>
      </c>
      <c r="K441">
        <v>3</v>
      </c>
      <c r="L441">
        <v>0.85833871386901905</v>
      </c>
    </row>
    <row r="442" spans="1:12">
      <c r="A442" t="str">
        <f t="shared" si="6"/>
        <v>T101H15</v>
      </c>
      <c r="B442">
        <v>15</v>
      </c>
      <c r="C442">
        <v>346</v>
      </c>
      <c r="D442">
        <v>402.961581344541</v>
      </c>
      <c r="E442">
        <v>11629</v>
      </c>
      <c r="F442">
        <v>0.85864264986632099</v>
      </c>
      <c r="G442">
        <v>2.9753203198899301</v>
      </c>
      <c r="H442" t="s">
        <v>67</v>
      </c>
      <c r="I442" t="s">
        <v>112</v>
      </c>
      <c r="J442" t="s">
        <v>113</v>
      </c>
      <c r="K442">
        <v>3</v>
      </c>
      <c r="L442">
        <v>0.90137351596681003</v>
      </c>
    </row>
    <row r="443" spans="1:12">
      <c r="A443" t="str">
        <f t="shared" si="6"/>
        <v>T202H15</v>
      </c>
      <c r="B443">
        <v>15</v>
      </c>
      <c r="C443">
        <v>118</v>
      </c>
      <c r="D443">
        <v>138.19343473840101</v>
      </c>
      <c r="E443">
        <v>3114</v>
      </c>
      <c r="F443">
        <v>0.85387558550356102</v>
      </c>
      <c r="G443">
        <v>3.7893384714193998</v>
      </c>
      <c r="H443" t="s">
        <v>67</v>
      </c>
      <c r="I443" t="s">
        <v>114</v>
      </c>
      <c r="J443" t="s">
        <v>115</v>
      </c>
      <c r="K443">
        <v>3</v>
      </c>
      <c r="L443">
        <v>0.89366821831308496</v>
      </c>
    </row>
    <row r="444" spans="1:12">
      <c r="A444" t="str">
        <f t="shared" si="6"/>
        <v>T312H15</v>
      </c>
      <c r="B444">
        <v>15</v>
      </c>
      <c r="C444">
        <v>1</v>
      </c>
      <c r="D444">
        <v>1.57176539799903</v>
      </c>
      <c r="E444">
        <v>1171</v>
      </c>
      <c r="F444">
        <v>0.63622726475151403</v>
      </c>
      <c r="G444">
        <v>8.5397096498719002E-2</v>
      </c>
      <c r="H444" t="s">
        <v>67</v>
      </c>
      <c r="I444" t="s">
        <v>116</v>
      </c>
      <c r="J444" t="s">
        <v>117</v>
      </c>
      <c r="K444">
        <v>3</v>
      </c>
      <c r="L444">
        <v>0.65283767146170901</v>
      </c>
    </row>
    <row r="445" spans="1:12">
      <c r="A445" t="str">
        <f t="shared" si="6"/>
        <v>V217H15</v>
      </c>
      <c r="B445">
        <v>15</v>
      </c>
      <c r="C445">
        <v>285</v>
      </c>
      <c r="D445">
        <v>281.28147028438502</v>
      </c>
      <c r="E445">
        <v>8529</v>
      </c>
      <c r="F445">
        <v>1.0132199597501199</v>
      </c>
      <c r="G445">
        <v>3.34154062609919</v>
      </c>
      <c r="H445" t="s">
        <v>67</v>
      </c>
      <c r="I445" t="s">
        <v>118</v>
      </c>
      <c r="J445" t="s">
        <v>119</v>
      </c>
      <c r="K445">
        <v>3</v>
      </c>
      <c r="L445">
        <v>0.97399288647200299</v>
      </c>
    </row>
    <row r="446" spans="1:12">
      <c r="A446" t="str">
        <f t="shared" si="6"/>
        <v>W107H15</v>
      </c>
      <c r="B446">
        <v>15</v>
      </c>
      <c r="C446">
        <v>30</v>
      </c>
      <c r="D446">
        <v>25.3217557216927</v>
      </c>
      <c r="E446">
        <v>1010</v>
      </c>
      <c r="F446">
        <v>1.18475197098199</v>
      </c>
      <c r="G446">
        <v>2.9702970297029698</v>
      </c>
      <c r="H446" t="s">
        <v>67</v>
      </c>
      <c r="I446" t="s">
        <v>120</v>
      </c>
      <c r="J446" t="s">
        <v>121</v>
      </c>
      <c r="K446">
        <v>3</v>
      </c>
      <c r="L446">
        <v>1.17125082110936</v>
      </c>
    </row>
    <row r="447" spans="1:12">
      <c r="A447" t="str">
        <f t="shared" si="6"/>
        <v>Z102H15</v>
      </c>
      <c r="B447">
        <v>15</v>
      </c>
      <c r="C447">
        <v>18</v>
      </c>
      <c r="D447">
        <v>19.909945404048301</v>
      </c>
      <c r="E447">
        <v>889</v>
      </c>
      <c r="F447">
        <v>0.90407078646936301</v>
      </c>
      <c r="G447">
        <v>2.0247469066366701</v>
      </c>
      <c r="H447" t="s">
        <v>67</v>
      </c>
      <c r="I447" t="s">
        <v>122</v>
      </c>
      <c r="J447" t="s">
        <v>123</v>
      </c>
      <c r="K447">
        <v>3</v>
      </c>
      <c r="L447">
        <v>1.0241861593127299</v>
      </c>
    </row>
    <row r="448" spans="1:12">
      <c r="A448" t="str">
        <f t="shared" ref="A448:A511" si="7">CONCATENATE(I448, B448)</f>
        <v>A111H16</v>
      </c>
      <c r="B448">
        <v>16</v>
      </c>
      <c r="C448">
        <v>257</v>
      </c>
      <c r="D448">
        <v>316.44304678172102</v>
      </c>
      <c r="E448">
        <v>9586</v>
      </c>
      <c r="F448">
        <v>0.81215246349614401</v>
      </c>
      <c r="G448">
        <v>2.6809931149593198</v>
      </c>
      <c r="H448" t="s">
        <v>67</v>
      </c>
      <c r="I448" t="s">
        <v>68</v>
      </c>
      <c r="J448" t="s">
        <v>69</v>
      </c>
      <c r="K448">
        <v>4</v>
      </c>
      <c r="L448">
        <v>0.87521252430118401</v>
      </c>
    </row>
    <row r="449" spans="1:12">
      <c r="A449" t="str">
        <f t="shared" si="7"/>
        <v>A210H16</v>
      </c>
      <c r="B449">
        <v>16</v>
      </c>
      <c r="C449">
        <v>223</v>
      </c>
      <c r="D449">
        <v>239.09831653564399</v>
      </c>
      <c r="E449">
        <v>7104</v>
      </c>
      <c r="F449">
        <v>0.93267072403981699</v>
      </c>
      <c r="G449">
        <v>3.13907657657658</v>
      </c>
      <c r="H449" t="s">
        <v>67</v>
      </c>
      <c r="I449" t="s">
        <v>70</v>
      </c>
      <c r="J449" t="s">
        <v>71</v>
      </c>
      <c r="K449">
        <v>4</v>
      </c>
      <c r="L449">
        <v>0.93405656531845804</v>
      </c>
    </row>
    <row r="450" spans="1:12">
      <c r="A450" t="str">
        <f t="shared" si="7"/>
        <v>B120H16</v>
      </c>
      <c r="B450">
        <v>16</v>
      </c>
      <c r="C450">
        <v>174</v>
      </c>
      <c r="D450">
        <v>150.41048069590099</v>
      </c>
      <c r="E450">
        <v>4419</v>
      </c>
      <c r="F450">
        <v>1.1568342790672399</v>
      </c>
      <c r="G450">
        <v>3.93754243041412</v>
      </c>
      <c r="H450" t="s">
        <v>67</v>
      </c>
      <c r="I450" t="s">
        <v>72</v>
      </c>
      <c r="J450" t="s">
        <v>73</v>
      </c>
      <c r="K450">
        <v>4</v>
      </c>
      <c r="L450">
        <v>0.93556381823749502</v>
      </c>
    </row>
    <row r="451" spans="1:12">
      <c r="A451" t="str">
        <f t="shared" si="7"/>
        <v>C121H16</v>
      </c>
      <c r="B451">
        <v>16</v>
      </c>
      <c r="C451">
        <v>24</v>
      </c>
      <c r="D451">
        <v>21.891824182110302</v>
      </c>
      <c r="E451">
        <v>779</v>
      </c>
      <c r="F451">
        <v>1.09629968705909</v>
      </c>
      <c r="G451">
        <v>3.0808729139922999</v>
      </c>
      <c r="H451" t="s">
        <v>67</v>
      </c>
      <c r="I451" t="s">
        <v>74</v>
      </c>
      <c r="J451" t="s">
        <v>75</v>
      </c>
      <c r="K451">
        <v>4</v>
      </c>
      <c r="L451">
        <v>1.08129606981666</v>
      </c>
    </row>
    <row r="452" spans="1:12">
      <c r="A452" t="str">
        <f t="shared" si="7"/>
        <v>C313H16</v>
      </c>
      <c r="B452">
        <v>16</v>
      </c>
      <c r="C452">
        <v>139</v>
      </c>
      <c r="D452">
        <v>139.62491511903201</v>
      </c>
      <c r="E452">
        <v>4632</v>
      </c>
      <c r="F452">
        <v>0.99552432946154701</v>
      </c>
      <c r="G452">
        <v>3.0008635578583802</v>
      </c>
      <c r="H452" t="s">
        <v>67</v>
      </c>
      <c r="I452" t="s">
        <v>76</v>
      </c>
      <c r="J452" t="s">
        <v>77</v>
      </c>
      <c r="K452">
        <v>4</v>
      </c>
      <c r="L452">
        <v>1.06987268907955</v>
      </c>
    </row>
    <row r="453" spans="1:12">
      <c r="A453" t="str">
        <f t="shared" si="7"/>
        <v>C418H16</v>
      </c>
      <c r="B453">
        <v>16</v>
      </c>
      <c r="C453">
        <v>303</v>
      </c>
      <c r="D453">
        <v>285.40775055742603</v>
      </c>
      <c r="E453">
        <v>10246</v>
      </c>
      <c r="F453">
        <v>1.0616390038750301</v>
      </c>
      <c r="G453">
        <v>2.9572516103845401</v>
      </c>
      <c r="H453" t="s">
        <v>67</v>
      </c>
      <c r="I453" t="s">
        <v>78</v>
      </c>
      <c r="J453" t="s">
        <v>79</v>
      </c>
      <c r="K453">
        <v>4</v>
      </c>
      <c r="L453">
        <v>1.0612376190669499</v>
      </c>
    </row>
    <row r="454" spans="1:12">
      <c r="A454" t="str">
        <f t="shared" si="7"/>
        <v>D102H16</v>
      </c>
      <c r="B454">
        <v>16</v>
      </c>
      <c r="C454">
        <v>26</v>
      </c>
      <c r="D454">
        <v>31.166632592641299</v>
      </c>
      <c r="E454">
        <v>4360</v>
      </c>
      <c r="F454">
        <v>0.834225510976082</v>
      </c>
      <c r="G454">
        <v>0.596330275229358</v>
      </c>
      <c r="H454" t="s">
        <v>67</v>
      </c>
      <c r="I454" t="s">
        <v>80</v>
      </c>
      <c r="J454" t="s">
        <v>81</v>
      </c>
      <c r="K454">
        <v>4</v>
      </c>
      <c r="L454">
        <v>0.85396693170450999</v>
      </c>
    </row>
    <row r="455" spans="1:12">
      <c r="A455" t="str">
        <f t="shared" si="7"/>
        <v>F704H16</v>
      </c>
      <c r="B455">
        <v>16</v>
      </c>
      <c r="C455">
        <v>387</v>
      </c>
      <c r="D455">
        <v>462.04631215685203</v>
      </c>
      <c r="E455">
        <v>8298</v>
      </c>
      <c r="F455">
        <v>0.83757837649102196</v>
      </c>
      <c r="G455">
        <v>4.66377440347072</v>
      </c>
      <c r="H455" t="s">
        <v>67</v>
      </c>
      <c r="I455" t="s">
        <v>82</v>
      </c>
      <c r="J455" t="s">
        <v>83</v>
      </c>
      <c r="K455">
        <v>4</v>
      </c>
      <c r="L455">
        <v>0.90380815406854298</v>
      </c>
    </row>
    <row r="456" spans="1:12">
      <c r="A456" t="str">
        <f t="shared" si="7"/>
        <v>G107H16</v>
      </c>
      <c r="B456">
        <v>16</v>
      </c>
      <c r="C456">
        <v>365</v>
      </c>
      <c r="D456">
        <v>387.013167551327</v>
      </c>
      <c r="E456">
        <v>13056</v>
      </c>
      <c r="F456">
        <v>0.94312036541132105</v>
      </c>
      <c r="G456">
        <v>2.79564950980392</v>
      </c>
      <c r="H456" t="s">
        <v>67</v>
      </c>
      <c r="I456" t="s">
        <v>84</v>
      </c>
      <c r="J456" t="s">
        <v>85</v>
      </c>
      <c r="K456">
        <v>4</v>
      </c>
      <c r="L456">
        <v>0.94560481595462698</v>
      </c>
    </row>
    <row r="457" spans="1:12">
      <c r="A457" t="str">
        <f t="shared" si="7"/>
        <v>G405H16</v>
      </c>
      <c r="B457">
        <v>16</v>
      </c>
      <c r="C457">
        <v>173</v>
      </c>
      <c r="D457">
        <v>187.42904204920899</v>
      </c>
      <c r="E457">
        <v>6884</v>
      </c>
      <c r="F457">
        <v>0.92301597505139599</v>
      </c>
      <c r="G457">
        <v>2.5130737943056398</v>
      </c>
      <c r="H457" t="s">
        <v>67</v>
      </c>
      <c r="I457" t="s">
        <v>86</v>
      </c>
      <c r="J457" t="s">
        <v>87</v>
      </c>
      <c r="K457">
        <v>4</v>
      </c>
      <c r="L457">
        <v>0.89568536502266405</v>
      </c>
    </row>
    <row r="458" spans="1:12">
      <c r="A458" t="str">
        <f t="shared" si="7"/>
        <v>H103H16</v>
      </c>
      <c r="B458">
        <v>16</v>
      </c>
      <c r="C458">
        <v>34</v>
      </c>
      <c r="D458">
        <v>33.737196934697302</v>
      </c>
      <c r="E458">
        <v>750</v>
      </c>
      <c r="F458">
        <v>1.00778971251854</v>
      </c>
      <c r="G458">
        <v>4.5333333333333297</v>
      </c>
      <c r="H458" t="s">
        <v>67</v>
      </c>
      <c r="I458" t="s">
        <v>88</v>
      </c>
      <c r="J458" t="s">
        <v>89</v>
      </c>
      <c r="K458">
        <v>4</v>
      </c>
      <c r="L458">
        <v>0.96933995778198101</v>
      </c>
    </row>
    <row r="459" spans="1:12">
      <c r="A459" t="str">
        <f t="shared" si="7"/>
        <v>H202H16</v>
      </c>
      <c r="B459">
        <v>16</v>
      </c>
      <c r="C459">
        <v>194</v>
      </c>
      <c r="D459">
        <v>207.16492230399601</v>
      </c>
      <c r="E459">
        <v>7085</v>
      </c>
      <c r="F459">
        <v>0.93645197189957696</v>
      </c>
      <c r="G459">
        <v>2.73817925194072</v>
      </c>
      <c r="H459" t="s">
        <v>67</v>
      </c>
      <c r="I459" t="s">
        <v>90</v>
      </c>
      <c r="J459" t="s">
        <v>91</v>
      </c>
      <c r="K459">
        <v>4</v>
      </c>
      <c r="L459">
        <v>0.80276275167843203</v>
      </c>
    </row>
    <row r="460" spans="1:12">
      <c r="A460" t="str">
        <f t="shared" si="7"/>
        <v>H212H16</v>
      </c>
      <c r="B460">
        <v>16</v>
      </c>
      <c r="C460">
        <v>21</v>
      </c>
      <c r="D460">
        <v>19.582875055177698</v>
      </c>
      <c r="E460">
        <v>397</v>
      </c>
      <c r="F460">
        <v>1.0723655204268701</v>
      </c>
      <c r="G460">
        <v>5.2896725440805996</v>
      </c>
      <c r="H460" t="s">
        <v>67</v>
      </c>
      <c r="I460" t="s">
        <v>92</v>
      </c>
      <c r="J460" t="s">
        <v>93</v>
      </c>
      <c r="K460">
        <v>4</v>
      </c>
      <c r="L460">
        <v>1.09984611956393</v>
      </c>
    </row>
    <row r="461" spans="1:12">
      <c r="A461" t="str">
        <f t="shared" si="7"/>
        <v>L106H16</v>
      </c>
      <c r="B461">
        <v>16</v>
      </c>
      <c r="C461">
        <v>240</v>
      </c>
      <c r="D461">
        <v>279.94112927620898</v>
      </c>
      <c r="E461">
        <v>7508</v>
      </c>
      <c r="F461">
        <v>0.85732311154321295</v>
      </c>
      <c r="G461">
        <v>3.1965903036760799</v>
      </c>
      <c r="H461" t="s">
        <v>67</v>
      </c>
      <c r="I461" t="s">
        <v>94</v>
      </c>
      <c r="J461" t="s">
        <v>95</v>
      </c>
      <c r="K461">
        <v>4</v>
      </c>
      <c r="L461">
        <v>0.91636648059447501</v>
      </c>
    </row>
    <row r="462" spans="1:12">
      <c r="A462" t="str">
        <f t="shared" si="7"/>
        <v>L302H16</v>
      </c>
      <c r="B462">
        <v>16</v>
      </c>
      <c r="C462">
        <v>214</v>
      </c>
      <c r="D462">
        <v>262.47931507109303</v>
      </c>
      <c r="E462">
        <v>7201</v>
      </c>
      <c r="F462">
        <v>0.81530234084174602</v>
      </c>
      <c r="G462">
        <v>2.9718094709068201</v>
      </c>
      <c r="H462" t="s">
        <v>67</v>
      </c>
      <c r="I462" t="s">
        <v>96</v>
      </c>
      <c r="J462" t="s">
        <v>97</v>
      </c>
      <c r="K462">
        <v>4</v>
      </c>
      <c r="L462">
        <v>0.89676032934734795</v>
      </c>
    </row>
    <row r="463" spans="1:12">
      <c r="A463" t="str">
        <f t="shared" si="7"/>
        <v>L308H16</v>
      </c>
      <c r="B463">
        <v>16</v>
      </c>
      <c r="C463">
        <v>303</v>
      </c>
      <c r="D463">
        <v>288.43630143856302</v>
      </c>
      <c r="E463">
        <v>9862</v>
      </c>
      <c r="F463">
        <v>1.05049190579966</v>
      </c>
      <c r="G463">
        <v>3.0723991076860702</v>
      </c>
      <c r="H463" t="s">
        <v>67</v>
      </c>
      <c r="I463" t="s">
        <v>98</v>
      </c>
      <c r="J463" t="s">
        <v>99</v>
      </c>
      <c r="K463">
        <v>4</v>
      </c>
      <c r="L463">
        <v>1.00667115520455</v>
      </c>
    </row>
    <row r="464" spans="1:12">
      <c r="A464" t="str">
        <f t="shared" si="7"/>
        <v>N101H16</v>
      </c>
      <c r="B464">
        <v>16</v>
      </c>
      <c r="C464">
        <v>449</v>
      </c>
      <c r="D464">
        <v>480.19426938762501</v>
      </c>
      <c r="E464">
        <v>15170</v>
      </c>
      <c r="F464">
        <v>0.93503823061569202</v>
      </c>
      <c r="G464">
        <v>2.9597890573500298</v>
      </c>
      <c r="H464" t="s">
        <v>67</v>
      </c>
      <c r="I464" t="s">
        <v>100</v>
      </c>
      <c r="J464" t="s">
        <v>101</v>
      </c>
      <c r="K464">
        <v>4</v>
      </c>
      <c r="L464">
        <v>0.90590414024393595</v>
      </c>
    </row>
    <row r="465" spans="1:12">
      <c r="A465" t="str">
        <f t="shared" si="7"/>
        <v>N411H16</v>
      </c>
      <c r="B465">
        <v>16</v>
      </c>
      <c r="C465">
        <v>99</v>
      </c>
      <c r="D465">
        <v>79.714340235975001</v>
      </c>
      <c r="E465">
        <v>2866</v>
      </c>
      <c r="F465">
        <v>1.2419346344325799</v>
      </c>
      <c r="G465">
        <v>3.4542916957431999</v>
      </c>
      <c r="H465" t="s">
        <v>67</v>
      </c>
      <c r="I465" t="s">
        <v>102</v>
      </c>
      <c r="J465" t="s">
        <v>103</v>
      </c>
      <c r="K465">
        <v>4</v>
      </c>
      <c r="L465">
        <v>1.0563475758262799</v>
      </c>
    </row>
    <row r="466" spans="1:12">
      <c r="A466" t="str">
        <f t="shared" si="7"/>
        <v>R101H16</v>
      </c>
      <c r="B466">
        <v>16</v>
      </c>
      <c r="C466">
        <v>19</v>
      </c>
      <c r="D466">
        <v>24.591307752987401</v>
      </c>
      <c r="E466">
        <v>773</v>
      </c>
      <c r="F466">
        <v>0.77263072752573903</v>
      </c>
      <c r="G466">
        <v>2.4579560155239299</v>
      </c>
      <c r="H466" t="s">
        <v>67</v>
      </c>
      <c r="I466" t="s">
        <v>104</v>
      </c>
      <c r="J466" t="s">
        <v>105</v>
      </c>
      <c r="K466">
        <v>4</v>
      </c>
      <c r="L466">
        <v>1.14605280366022</v>
      </c>
    </row>
    <row r="467" spans="1:12">
      <c r="A467" t="str">
        <f t="shared" si="7"/>
        <v>S116H16</v>
      </c>
      <c r="B467">
        <v>16</v>
      </c>
      <c r="C467">
        <v>255</v>
      </c>
      <c r="D467">
        <v>331.54450377819097</v>
      </c>
      <c r="E467">
        <v>7204</v>
      </c>
      <c r="F467">
        <v>0.76912751408661495</v>
      </c>
      <c r="G467">
        <v>3.5397001665741299</v>
      </c>
      <c r="H467" t="s">
        <v>67</v>
      </c>
      <c r="I467" t="s">
        <v>106</v>
      </c>
      <c r="J467" t="s">
        <v>107</v>
      </c>
      <c r="K467">
        <v>4</v>
      </c>
      <c r="L467">
        <v>0.74152965572962504</v>
      </c>
    </row>
    <row r="468" spans="1:12">
      <c r="A468" t="str">
        <f t="shared" si="7"/>
        <v>S308H16</v>
      </c>
      <c r="B468">
        <v>16</v>
      </c>
      <c r="C468">
        <v>160</v>
      </c>
      <c r="D468">
        <v>189.18579487335001</v>
      </c>
      <c r="E468">
        <v>7653</v>
      </c>
      <c r="F468">
        <v>0.84572945927103804</v>
      </c>
      <c r="G468">
        <v>2.0906833921337999</v>
      </c>
      <c r="H468" t="s">
        <v>67</v>
      </c>
      <c r="I468" t="s">
        <v>108</v>
      </c>
      <c r="J468" t="s">
        <v>109</v>
      </c>
      <c r="K468">
        <v>4</v>
      </c>
      <c r="L468">
        <v>0.83584758573020901</v>
      </c>
    </row>
    <row r="469" spans="1:12">
      <c r="A469" t="str">
        <f t="shared" si="7"/>
        <v>S314H16</v>
      </c>
      <c r="B469">
        <v>16</v>
      </c>
      <c r="C469">
        <v>395</v>
      </c>
      <c r="D469">
        <v>444.21377125864302</v>
      </c>
      <c r="E469">
        <v>12027</v>
      </c>
      <c r="F469">
        <v>0.88921151381867403</v>
      </c>
      <c r="G469">
        <v>3.2842770433192001</v>
      </c>
      <c r="H469" t="s">
        <v>67</v>
      </c>
      <c r="I469" t="s">
        <v>110</v>
      </c>
      <c r="J469" t="s">
        <v>111</v>
      </c>
      <c r="K469">
        <v>4</v>
      </c>
      <c r="L469">
        <v>0.85748532291947399</v>
      </c>
    </row>
    <row r="470" spans="1:12">
      <c r="A470" t="str">
        <f t="shared" si="7"/>
        <v>T101H16</v>
      </c>
      <c r="B470">
        <v>16</v>
      </c>
      <c r="C470">
        <v>416</v>
      </c>
      <c r="D470">
        <v>455.83389959402501</v>
      </c>
      <c r="E470">
        <v>11965</v>
      </c>
      <c r="F470">
        <v>0.91261312590068</v>
      </c>
      <c r="G470">
        <v>3.47680735478479</v>
      </c>
      <c r="H470" t="s">
        <v>67</v>
      </c>
      <c r="I470" t="s">
        <v>112</v>
      </c>
      <c r="J470" t="s">
        <v>113</v>
      </c>
      <c r="K470">
        <v>4</v>
      </c>
      <c r="L470">
        <v>0.89619217576430399</v>
      </c>
    </row>
    <row r="471" spans="1:12">
      <c r="A471" t="str">
        <f t="shared" si="7"/>
        <v>T202H16</v>
      </c>
      <c r="B471">
        <v>16</v>
      </c>
      <c r="C471">
        <v>153</v>
      </c>
      <c r="D471">
        <v>149.29369498595099</v>
      </c>
      <c r="E471">
        <v>3047</v>
      </c>
      <c r="F471">
        <v>1.0248255963816699</v>
      </c>
      <c r="G471">
        <v>5.0213324581555598</v>
      </c>
      <c r="H471" t="s">
        <v>67</v>
      </c>
      <c r="I471" t="s">
        <v>114</v>
      </c>
      <c r="J471" t="s">
        <v>115</v>
      </c>
      <c r="K471">
        <v>4</v>
      </c>
      <c r="L471">
        <v>0.89407713839170599</v>
      </c>
    </row>
    <row r="472" spans="1:12">
      <c r="A472" t="str">
        <f t="shared" si="7"/>
        <v>T312H16</v>
      </c>
      <c r="B472">
        <v>16</v>
      </c>
      <c r="C472">
        <v>1</v>
      </c>
      <c r="D472">
        <v>1.56650536264485</v>
      </c>
      <c r="E472">
        <v>1331</v>
      </c>
      <c r="F472">
        <v>0.63836359826539402</v>
      </c>
      <c r="G472">
        <v>7.5131480090157798E-2</v>
      </c>
      <c r="H472" t="s">
        <v>67</v>
      </c>
      <c r="I472" t="s">
        <v>116</v>
      </c>
      <c r="J472" t="s">
        <v>117</v>
      </c>
      <c r="K472">
        <v>4</v>
      </c>
      <c r="L472">
        <v>0.661052780885927</v>
      </c>
    </row>
    <row r="473" spans="1:12">
      <c r="A473" t="str">
        <f t="shared" si="7"/>
        <v>V217H16</v>
      </c>
      <c r="B473">
        <v>16</v>
      </c>
      <c r="C473">
        <v>322</v>
      </c>
      <c r="D473">
        <v>287.944694871519</v>
      </c>
      <c r="E473">
        <v>8490</v>
      </c>
      <c r="F473">
        <v>1.11827029889777</v>
      </c>
      <c r="G473">
        <v>3.7926972909305099</v>
      </c>
      <c r="H473" t="s">
        <v>67</v>
      </c>
      <c r="I473" t="s">
        <v>118</v>
      </c>
      <c r="J473" t="s">
        <v>119</v>
      </c>
      <c r="K473">
        <v>4</v>
      </c>
      <c r="L473">
        <v>0.974227091796387</v>
      </c>
    </row>
    <row r="474" spans="1:12">
      <c r="A474" t="str">
        <f t="shared" si="7"/>
        <v>W107H16</v>
      </c>
      <c r="B474">
        <v>16</v>
      </c>
      <c r="C474">
        <v>26</v>
      </c>
      <c r="D474">
        <v>21.4054373964807</v>
      </c>
      <c r="E474">
        <v>976</v>
      </c>
      <c r="F474">
        <v>1.2146446493204901</v>
      </c>
      <c r="G474">
        <v>2.6639344262295102</v>
      </c>
      <c r="H474" t="s">
        <v>67</v>
      </c>
      <c r="I474" t="s">
        <v>120</v>
      </c>
      <c r="J474" t="s">
        <v>121</v>
      </c>
      <c r="K474">
        <v>4</v>
      </c>
      <c r="L474">
        <v>1.15318882829808</v>
      </c>
    </row>
    <row r="475" spans="1:12">
      <c r="A475" t="str">
        <f t="shared" si="7"/>
        <v>Z102H16</v>
      </c>
      <c r="B475">
        <v>16</v>
      </c>
      <c r="C475">
        <v>28</v>
      </c>
      <c r="D475">
        <v>20.039075914319099</v>
      </c>
      <c r="E475">
        <v>922</v>
      </c>
      <c r="F475">
        <v>1.39727001982124</v>
      </c>
      <c r="G475">
        <v>3.0368763557483698</v>
      </c>
      <c r="H475" t="s">
        <v>67</v>
      </c>
      <c r="I475" t="s">
        <v>122</v>
      </c>
      <c r="J475" t="s">
        <v>123</v>
      </c>
      <c r="K475">
        <v>4</v>
      </c>
      <c r="L475">
        <v>1.0244990851984099</v>
      </c>
    </row>
    <row r="476" spans="1:12">
      <c r="A476" t="str">
        <f t="shared" si="7"/>
        <v>A111H17</v>
      </c>
      <c r="B476">
        <v>17</v>
      </c>
      <c r="C476">
        <v>314</v>
      </c>
      <c r="D476">
        <v>356.68633493503</v>
      </c>
      <c r="E476">
        <v>9346</v>
      </c>
      <c r="F476">
        <v>0.88032528652154496</v>
      </c>
      <c r="G476">
        <v>3.35972608602611</v>
      </c>
      <c r="H476" t="s">
        <v>67</v>
      </c>
      <c r="I476" t="s">
        <v>68</v>
      </c>
      <c r="J476" t="s">
        <v>69</v>
      </c>
      <c r="K476">
        <v>5</v>
      </c>
      <c r="L476">
        <v>0.86662895508246995</v>
      </c>
    </row>
    <row r="477" spans="1:12">
      <c r="A477" t="str">
        <f t="shared" si="7"/>
        <v>A210H17</v>
      </c>
      <c r="B477">
        <v>17</v>
      </c>
      <c r="C477">
        <v>211</v>
      </c>
      <c r="D477">
        <v>241.58400803766</v>
      </c>
      <c r="E477">
        <v>6448</v>
      </c>
      <c r="F477">
        <v>0.87340218300835204</v>
      </c>
      <c r="G477">
        <v>3.2723325062034698</v>
      </c>
      <c r="H477" t="s">
        <v>67</v>
      </c>
      <c r="I477" t="s">
        <v>70</v>
      </c>
      <c r="J477" t="s">
        <v>71</v>
      </c>
      <c r="K477">
        <v>5</v>
      </c>
      <c r="L477">
        <v>0.92551577228413995</v>
      </c>
    </row>
    <row r="478" spans="1:12">
      <c r="A478" t="str">
        <f t="shared" si="7"/>
        <v>B120H17</v>
      </c>
      <c r="B478">
        <v>17</v>
      </c>
      <c r="C478">
        <v>189</v>
      </c>
      <c r="D478">
        <v>172.216891696695</v>
      </c>
      <c r="E478">
        <v>4358</v>
      </c>
      <c r="F478">
        <v>1.0974533225977801</v>
      </c>
      <c r="G478">
        <v>4.3368517668655304</v>
      </c>
      <c r="H478" t="s">
        <v>67</v>
      </c>
      <c r="I478" t="s">
        <v>72</v>
      </c>
      <c r="J478" t="s">
        <v>73</v>
      </c>
      <c r="K478">
        <v>5</v>
      </c>
      <c r="L478">
        <v>0.93577592290337597</v>
      </c>
    </row>
    <row r="479" spans="1:12">
      <c r="A479" t="str">
        <f t="shared" si="7"/>
        <v>C121H17</v>
      </c>
      <c r="B479">
        <v>17</v>
      </c>
      <c r="C479">
        <v>31</v>
      </c>
      <c r="D479">
        <v>22.549756034702298</v>
      </c>
      <c r="E479">
        <v>793</v>
      </c>
      <c r="F479">
        <v>1.37473771123259</v>
      </c>
      <c r="G479">
        <v>3.9092055485498101</v>
      </c>
      <c r="H479" t="s">
        <v>67</v>
      </c>
      <c r="I479" t="s">
        <v>74</v>
      </c>
      <c r="J479" t="s">
        <v>75</v>
      </c>
      <c r="K479">
        <v>5</v>
      </c>
      <c r="L479">
        <v>1.07825285584027</v>
      </c>
    </row>
    <row r="480" spans="1:12">
      <c r="A480" t="str">
        <f t="shared" si="7"/>
        <v>C313H17</v>
      </c>
      <c r="B480">
        <v>17</v>
      </c>
      <c r="C480">
        <v>158</v>
      </c>
      <c r="D480">
        <v>132.00275045779199</v>
      </c>
      <c r="E480">
        <v>4806</v>
      </c>
      <c r="F480">
        <v>1.19694475646946</v>
      </c>
      <c r="G480">
        <v>3.28755722014149</v>
      </c>
      <c r="H480" t="s">
        <v>67</v>
      </c>
      <c r="I480" t="s">
        <v>76</v>
      </c>
      <c r="J480" t="s">
        <v>77</v>
      </c>
      <c r="K480">
        <v>5</v>
      </c>
      <c r="L480">
        <v>1.0563867641475699</v>
      </c>
    </row>
    <row r="481" spans="1:12">
      <c r="A481" t="str">
        <f t="shared" si="7"/>
        <v>C418H17</v>
      </c>
      <c r="B481">
        <v>17</v>
      </c>
      <c r="C481">
        <v>331</v>
      </c>
      <c r="D481">
        <v>302.73548059169599</v>
      </c>
      <c r="E481">
        <v>9718</v>
      </c>
      <c r="F481">
        <v>1.0933637489502701</v>
      </c>
      <c r="G481">
        <v>3.4060506277011702</v>
      </c>
      <c r="H481" t="s">
        <v>67</v>
      </c>
      <c r="I481" t="s">
        <v>78</v>
      </c>
      <c r="J481" t="s">
        <v>79</v>
      </c>
      <c r="K481">
        <v>5</v>
      </c>
      <c r="L481">
        <v>1.05679570278688</v>
      </c>
    </row>
    <row r="482" spans="1:12">
      <c r="A482" t="str">
        <f t="shared" si="7"/>
        <v>D102H17</v>
      </c>
      <c r="B482">
        <v>17</v>
      </c>
      <c r="C482">
        <v>33</v>
      </c>
      <c r="D482">
        <v>31.017591369968699</v>
      </c>
      <c r="E482">
        <v>4507</v>
      </c>
      <c r="F482">
        <v>1.0639123975290601</v>
      </c>
      <c r="G482">
        <v>0.732194364322165</v>
      </c>
      <c r="H482" t="s">
        <v>67</v>
      </c>
      <c r="I482" t="s">
        <v>80</v>
      </c>
      <c r="J482" t="s">
        <v>81</v>
      </c>
      <c r="K482">
        <v>5</v>
      </c>
      <c r="L482">
        <v>0.86374698429626795</v>
      </c>
    </row>
    <row r="483" spans="1:12">
      <c r="A483" t="str">
        <f t="shared" si="7"/>
        <v>F704H17</v>
      </c>
      <c r="B483">
        <v>17</v>
      </c>
      <c r="C483">
        <v>413</v>
      </c>
      <c r="D483">
        <v>461.34492970000503</v>
      </c>
      <c r="E483">
        <v>8313</v>
      </c>
      <c r="F483">
        <v>0.89520871134003399</v>
      </c>
      <c r="G483">
        <v>4.9681222182124403</v>
      </c>
      <c r="H483" t="s">
        <v>67</v>
      </c>
      <c r="I483" t="s">
        <v>82</v>
      </c>
      <c r="J483" t="s">
        <v>83</v>
      </c>
      <c r="K483">
        <v>5</v>
      </c>
      <c r="L483">
        <v>0.903264219690467</v>
      </c>
    </row>
    <row r="484" spans="1:12">
      <c r="A484" t="str">
        <f t="shared" si="7"/>
        <v>G107H17</v>
      </c>
      <c r="B484">
        <v>17</v>
      </c>
      <c r="C484">
        <v>426</v>
      </c>
      <c r="D484">
        <v>417.33671121324699</v>
      </c>
      <c r="E484">
        <v>12829</v>
      </c>
      <c r="F484">
        <v>1.0207585111829001</v>
      </c>
      <c r="G484">
        <v>3.3206017616337999</v>
      </c>
      <c r="H484" t="s">
        <v>67</v>
      </c>
      <c r="I484" t="s">
        <v>84</v>
      </c>
      <c r="J484" t="s">
        <v>85</v>
      </c>
      <c r="K484">
        <v>5</v>
      </c>
      <c r="L484">
        <v>0.940685050180608</v>
      </c>
    </row>
    <row r="485" spans="1:12">
      <c r="A485" t="str">
        <f t="shared" si="7"/>
        <v>G405H17</v>
      </c>
      <c r="B485">
        <v>17</v>
      </c>
      <c r="C485">
        <v>203</v>
      </c>
      <c r="D485">
        <v>176.431878007188</v>
      </c>
      <c r="E485">
        <v>6745</v>
      </c>
      <c r="F485">
        <v>1.15058572346959</v>
      </c>
      <c r="G485">
        <v>3.0096367679762799</v>
      </c>
      <c r="H485" t="s">
        <v>67</v>
      </c>
      <c r="I485" t="s">
        <v>86</v>
      </c>
      <c r="J485" t="s">
        <v>87</v>
      </c>
      <c r="K485">
        <v>5</v>
      </c>
      <c r="L485">
        <v>0.89574250560528101</v>
      </c>
    </row>
    <row r="486" spans="1:12">
      <c r="A486" t="str">
        <f t="shared" si="7"/>
        <v>H103H17</v>
      </c>
      <c r="B486">
        <v>17</v>
      </c>
      <c r="C486">
        <v>38</v>
      </c>
      <c r="D486">
        <v>35.4808851753995</v>
      </c>
      <c r="E486">
        <v>799</v>
      </c>
      <c r="F486">
        <v>1.0709992101985999</v>
      </c>
      <c r="G486">
        <v>4.7559449311639597</v>
      </c>
      <c r="H486" t="s">
        <v>67</v>
      </c>
      <c r="I486" t="s">
        <v>88</v>
      </c>
      <c r="J486" t="s">
        <v>89</v>
      </c>
      <c r="K486">
        <v>5</v>
      </c>
      <c r="L486">
        <v>0.96286669875417596</v>
      </c>
    </row>
    <row r="487" spans="1:12">
      <c r="A487" t="str">
        <f t="shared" si="7"/>
        <v>H202H17</v>
      </c>
      <c r="B487">
        <v>17</v>
      </c>
      <c r="C487">
        <v>165</v>
      </c>
      <c r="D487">
        <v>212.55884537469501</v>
      </c>
      <c r="E487">
        <v>7616</v>
      </c>
      <c r="F487">
        <v>0.77625562798452796</v>
      </c>
      <c r="G487">
        <v>2.16649159663866</v>
      </c>
      <c r="H487" t="s">
        <v>67</v>
      </c>
      <c r="I487" t="s">
        <v>90</v>
      </c>
      <c r="J487" t="s">
        <v>91</v>
      </c>
      <c r="K487">
        <v>5</v>
      </c>
      <c r="L487">
        <v>0.80622330305142798</v>
      </c>
    </row>
    <row r="488" spans="1:12">
      <c r="A488" t="str">
        <f t="shared" si="7"/>
        <v>H212H17</v>
      </c>
      <c r="B488">
        <v>17</v>
      </c>
      <c r="C488">
        <v>17</v>
      </c>
      <c r="D488">
        <v>15.8724469648736</v>
      </c>
      <c r="E488">
        <v>365</v>
      </c>
      <c r="F488">
        <v>1.0710383873149301</v>
      </c>
      <c r="G488">
        <v>4.6575342465753398</v>
      </c>
      <c r="H488" t="s">
        <v>67</v>
      </c>
      <c r="I488" t="s">
        <v>92</v>
      </c>
      <c r="J488" t="s">
        <v>93</v>
      </c>
      <c r="K488">
        <v>5</v>
      </c>
      <c r="L488">
        <v>1.10075843295495</v>
      </c>
    </row>
    <row r="489" spans="1:12">
      <c r="A489" t="str">
        <f t="shared" si="7"/>
        <v>L106H17</v>
      </c>
      <c r="B489">
        <v>17</v>
      </c>
      <c r="C489">
        <v>273</v>
      </c>
      <c r="D489">
        <v>308.70744469270898</v>
      </c>
      <c r="E489">
        <v>8453</v>
      </c>
      <c r="F489">
        <v>0.88433241469685897</v>
      </c>
      <c r="G489">
        <v>3.2296226191884498</v>
      </c>
      <c r="H489" t="s">
        <v>67</v>
      </c>
      <c r="I489" t="s">
        <v>94</v>
      </c>
      <c r="J489" t="s">
        <v>95</v>
      </c>
      <c r="K489">
        <v>5</v>
      </c>
      <c r="L489">
        <v>0.90666475939430902</v>
      </c>
    </row>
    <row r="490" spans="1:12">
      <c r="A490" t="str">
        <f t="shared" si="7"/>
        <v>L302H17</v>
      </c>
      <c r="B490">
        <v>17</v>
      </c>
      <c r="C490">
        <v>222</v>
      </c>
      <c r="D490">
        <v>264.09821726637398</v>
      </c>
      <c r="E490">
        <v>7154</v>
      </c>
      <c r="F490">
        <v>0.84059635955848599</v>
      </c>
      <c r="G490">
        <v>3.1031590718479198</v>
      </c>
      <c r="H490" t="s">
        <v>67</v>
      </c>
      <c r="I490" t="s">
        <v>96</v>
      </c>
      <c r="J490" t="s">
        <v>97</v>
      </c>
      <c r="K490">
        <v>5</v>
      </c>
      <c r="L490">
        <v>0.88776162583678198</v>
      </c>
    </row>
    <row r="491" spans="1:12">
      <c r="A491" t="str">
        <f t="shared" si="7"/>
        <v>L308H17</v>
      </c>
      <c r="B491">
        <v>17</v>
      </c>
      <c r="C491">
        <v>275</v>
      </c>
      <c r="D491">
        <v>291.02757885346898</v>
      </c>
      <c r="E491">
        <v>9860</v>
      </c>
      <c r="F491">
        <v>0.94492762879514203</v>
      </c>
      <c r="G491">
        <v>2.7890466531440201</v>
      </c>
      <c r="H491" t="s">
        <v>67</v>
      </c>
      <c r="I491" t="s">
        <v>98</v>
      </c>
      <c r="J491" t="s">
        <v>99</v>
      </c>
      <c r="K491">
        <v>5</v>
      </c>
      <c r="L491">
        <v>0.98762066204221499</v>
      </c>
    </row>
    <row r="492" spans="1:12">
      <c r="A492" t="str">
        <f t="shared" si="7"/>
        <v>N101H17</v>
      </c>
      <c r="B492">
        <v>17</v>
      </c>
      <c r="C492">
        <v>513</v>
      </c>
      <c r="D492">
        <v>504.91864820972501</v>
      </c>
      <c r="E492">
        <v>15500</v>
      </c>
      <c r="F492">
        <v>1.01600525514146</v>
      </c>
      <c r="G492">
        <v>3.3096774193548399</v>
      </c>
      <c r="H492" t="s">
        <v>67</v>
      </c>
      <c r="I492" t="s">
        <v>100</v>
      </c>
      <c r="J492" t="s">
        <v>101</v>
      </c>
      <c r="K492">
        <v>5</v>
      </c>
      <c r="L492">
        <v>0.90473056073076896</v>
      </c>
    </row>
    <row r="493" spans="1:12">
      <c r="A493" t="str">
        <f t="shared" si="7"/>
        <v>N411H17</v>
      </c>
      <c r="B493">
        <v>17</v>
      </c>
      <c r="C493">
        <v>96</v>
      </c>
      <c r="D493">
        <v>84.508450140662305</v>
      </c>
      <c r="E493">
        <v>3135</v>
      </c>
      <c r="F493">
        <v>1.1359810745577501</v>
      </c>
      <c r="G493">
        <v>3.0622009569377999</v>
      </c>
      <c r="H493" t="s">
        <v>67</v>
      </c>
      <c r="I493" t="s">
        <v>102</v>
      </c>
      <c r="J493" t="s">
        <v>103</v>
      </c>
      <c r="K493">
        <v>5</v>
      </c>
      <c r="L493">
        <v>1.0545631453390301</v>
      </c>
    </row>
    <row r="494" spans="1:12">
      <c r="A494" t="str">
        <f t="shared" si="7"/>
        <v>R101H17</v>
      </c>
      <c r="B494">
        <v>17</v>
      </c>
      <c r="C494">
        <v>28</v>
      </c>
      <c r="D494">
        <v>29.219850461222698</v>
      </c>
      <c r="E494">
        <v>870</v>
      </c>
      <c r="F494">
        <v>0.95825267953230797</v>
      </c>
      <c r="G494">
        <v>3.2183908045976999</v>
      </c>
      <c r="H494" t="s">
        <v>67</v>
      </c>
      <c r="I494" t="s">
        <v>104</v>
      </c>
      <c r="J494" t="s">
        <v>105</v>
      </c>
      <c r="K494">
        <v>5</v>
      </c>
      <c r="L494">
        <v>1.1244531796602399</v>
      </c>
    </row>
    <row r="495" spans="1:12">
      <c r="A495" t="str">
        <f t="shared" si="7"/>
        <v>S116H17</v>
      </c>
      <c r="B495">
        <v>17</v>
      </c>
      <c r="C495">
        <v>302</v>
      </c>
      <c r="D495">
        <v>376.53802610208601</v>
      </c>
      <c r="E495">
        <v>7298</v>
      </c>
      <c r="F495">
        <v>0.80204382841833499</v>
      </c>
      <c r="G495">
        <v>4.1381200328857197</v>
      </c>
      <c r="H495" t="s">
        <v>67</v>
      </c>
      <c r="I495" t="s">
        <v>106</v>
      </c>
      <c r="J495" t="s">
        <v>107</v>
      </c>
      <c r="K495">
        <v>5</v>
      </c>
      <c r="L495">
        <v>0.73674341460281401</v>
      </c>
    </row>
    <row r="496" spans="1:12">
      <c r="A496" t="str">
        <f t="shared" si="7"/>
        <v>S308H17</v>
      </c>
      <c r="B496">
        <v>17</v>
      </c>
      <c r="C496">
        <v>174</v>
      </c>
      <c r="D496">
        <v>195.35165304241499</v>
      </c>
      <c r="E496">
        <v>7774</v>
      </c>
      <c r="F496">
        <v>0.89070144680178598</v>
      </c>
      <c r="G496">
        <v>2.2382299974273199</v>
      </c>
      <c r="H496" t="s">
        <v>67</v>
      </c>
      <c r="I496" t="s">
        <v>108</v>
      </c>
      <c r="J496" t="s">
        <v>109</v>
      </c>
      <c r="K496">
        <v>5</v>
      </c>
      <c r="L496">
        <v>0.82984400180737705</v>
      </c>
    </row>
    <row r="497" spans="1:12">
      <c r="A497" t="str">
        <f t="shared" si="7"/>
        <v>S314H17</v>
      </c>
      <c r="B497">
        <v>17</v>
      </c>
      <c r="C497">
        <v>411</v>
      </c>
      <c r="D497">
        <v>476.47750051945002</v>
      </c>
      <c r="E497">
        <v>11850</v>
      </c>
      <c r="F497">
        <v>0.86258007891649102</v>
      </c>
      <c r="G497">
        <v>3.4683544303797502</v>
      </c>
      <c r="H497" t="s">
        <v>67</v>
      </c>
      <c r="I497" t="s">
        <v>110</v>
      </c>
      <c r="J497" t="s">
        <v>111</v>
      </c>
      <c r="K497">
        <v>5</v>
      </c>
      <c r="L497">
        <v>0.85663193196992904</v>
      </c>
    </row>
    <row r="498" spans="1:12">
      <c r="A498" t="str">
        <f t="shared" si="7"/>
        <v>T101H17</v>
      </c>
      <c r="B498">
        <v>17</v>
      </c>
      <c r="C498">
        <v>431</v>
      </c>
      <c r="D498">
        <v>449.15680514127399</v>
      </c>
      <c r="E498">
        <v>11562</v>
      </c>
      <c r="F498">
        <v>0.95957579862212505</v>
      </c>
      <c r="G498">
        <v>3.7277287666493701</v>
      </c>
      <c r="H498" t="s">
        <v>67</v>
      </c>
      <c r="I498" t="s">
        <v>112</v>
      </c>
      <c r="J498" t="s">
        <v>113</v>
      </c>
      <c r="K498">
        <v>5</v>
      </c>
      <c r="L498">
        <v>0.89101083556179905</v>
      </c>
    </row>
    <row r="499" spans="1:12">
      <c r="A499" t="str">
        <f t="shared" si="7"/>
        <v>T202H17</v>
      </c>
      <c r="B499">
        <v>17</v>
      </c>
      <c r="C499">
        <v>163</v>
      </c>
      <c r="D499">
        <v>159.463875445485</v>
      </c>
      <c r="E499">
        <v>2948</v>
      </c>
      <c r="F499">
        <v>1.02217508225381</v>
      </c>
      <c r="G499">
        <v>5.5291723202170999</v>
      </c>
      <c r="H499" t="s">
        <v>67</v>
      </c>
      <c r="I499" t="s">
        <v>114</v>
      </c>
      <c r="J499" t="s">
        <v>115</v>
      </c>
      <c r="K499">
        <v>5</v>
      </c>
      <c r="L499">
        <v>0.89448605847032703</v>
      </c>
    </row>
    <row r="500" spans="1:12">
      <c r="A500" t="str">
        <f t="shared" si="7"/>
        <v>T312H17</v>
      </c>
      <c r="B500">
        <v>17</v>
      </c>
      <c r="C500">
        <v>0</v>
      </c>
      <c r="D500">
        <v>1.2907645542714501</v>
      </c>
      <c r="E500">
        <v>1374</v>
      </c>
      <c r="F500">
        <v>0</v>
      </c>
      <c r="G500">
        <v>0</v>
      </c>
      <c r="H500" t="s">
        <v>67</v>
      </c>
      <c r="I500" t="s">
        <v>116</v>
      </c>
      <c r="J500" t="s">
        <v>117</v>
      </c>
      <c r="K500">
        <v>5</v>
      </c>
      <c r="L500">
        <v>0.669267890310145</v>
      </c>
    </row>
    <row r="501" spans="1:12">
      <c r="A501" t="str">
        <f t="shared" si="7"/>
        <v>V217H17</v>
      </c>
      <c r="B501">
        <v>17</v>
      </c>
      <c r="C501">
        <v>341</v>
      </c>
      <c r="D501">
        <v>308.31152719383999</v>
      </c>
      <c r="E501">
        <v>8486</v>
      </c>
      <c r="F501">
        <v>1.10602416686681</v>
      </c>
      <c r="G501">
        <v>4.0183832194202198</v>
      </c>
      <c r="H501" t="s">
        <v>67</v>
      </c>
      <c r="I501" t="s">
        <v>118</v>
      </c>
      <c r="J501" t="s">
        <v>119</v>
      </c>
      <c r="K501">
        <v>5</v>
      </c>
      <c r="L501">
        <v>0.97446129712077201</v>
      </c>
    </row>
    <row r="502" spans="1:12">
      <c r="A502" t="str">
        <f t="shared" si="7"/>
        <v>W107H17</v>
      </c>
      <c r="B502">
        <v>17</v>
      </c>
      <c r="C502">
        <v>28</v>
      </c>
      <c r="D502">
        <v>22.738379579528601</v>
      </c>
      <c r="E502">
        <v>1005</v>
      </c>
      <c r="F502">
        <v>1.2313982138467101</v>
      </c>
      <c r="G502">
        <v>2.7860696517412902</v>
      </c>
      <c r="H502" t="s">
        <v>67</v>
      </c>
      <c r="I502" t="s">
        <v>120</v>
      </c>
      <c r="J502" t="s">
        <v>121</v>
      </c>
      <c r="K502">
        <v>5</v>
      </c>
      <c r="L502">
        <v>1.1351268354868</v>
      </c>
    </row>
    <row r="503" spans="1:12">
      <c r="A503" t="str">
        <f t="shared" si="7"/>
        <v>Z102H17</v>
      </c>
      <c r="B503">
        <v>17</v>
      </c>
      <c r="C503">
        <v>13</v>
      </c>
      <c r="D503">
        <v>17.740673640299502</v>
      </c>
      <c r="E503">
        <v>871</v>
      </c>
      <c r="F503">
        <v>0.73277938953058397</v>
      </c>
      <c r="G503">
        <v>1.4925373134328399</v>
      </c>
      <c r="H503" t="s">
        <v>67</v>
      </c>
      <c r="I503" t="s">
        <v>122</v>
      </c>
      <c r="J503" t="s">
        <v>123</v>
      </c>
      <c r="K503">
        <v>5</v>
      </c>
      <c r="L503">
        <v>1.0248120110840999</v>
      </c>
    </row>
    <row r="504" spans="1:12">
      <c r="A504" t="str">
        <f t="shared" si="7"/>
        <v>A111H18</v>
      </c>
      <c r="B504">
        <v>18</v>
      </c>
      <c r="C504">
        <v>300</v>
      </c>
      <c r="D504">
        <v>333.96978894949802</v>
      </c>
      <c r="E504">
        <v>9343</v>
      </c>
      <c r="F504">
        <v>0.89828484469703196</v>
      </c>
      <c r="G504">
        <v>3.21096007706304</v>
      </c>
      <c r="H504" t="s">
        <v>67</v>
      </c>
      <c r="I504" t="s">
        <v>68</v>
      </c>
      <c r="J504" t="s">
        <v>69</v>
      </c>
      <c r="K504">
        <v>6</v>
      </c>
      <c r="L504">
        <v>0.858045385863756</v>
      </c>
    </row>
    <row r="505" spans="1:12">
      <c r="A505" t="str">
        <f t="shared" si="7"/>
        <v>A210H18</v>
      </c>
      <c r="B505">
        <v>18</v>
      </c>
      <c r="C505">
        <v>214</v>
      </c>
      <c r="D505">
        <v>243.19850174108399</v>
      </c>
      <c r="E505">
        <v>6312</v>
      </c>
      <c r="F505">
        <v>0.87993963148601195</v>
      </c>
      <c r="G505">
        <v>3.3903675538656501</v>
      </c>
      <c r="H505" t="s">
        <v>67</v>
      </c>
      <c r="I505" t="s">
        <v>70</v>
      </c>
      <c r="J505" t="s">
        <v>71</v>
      </c>
      <c r="K505">
        <v>6</v>
      </c>
      <c r="L505">
        <v>0.91697497924982196</v>
      </c>
    </row>
    <row r="506" spans="1:12">
      <c r="A506" t="str">
        <f t="shared" si="7"/>
        <v>B120H18</v>
      </c>
      <c r="B506">
        <v>18</v>
      </c>
      <c r="C506">
        <v>138</v>
      </c>
      <c r="D506">
        <v>150.36112927652701</v>
      </c>
      <c r="E506">
        <v>4455</v>
      </c>
      <c r="F506">
        <v>0.91779039346137503</v>
      </c>
      <c r="G506">
        <v>3.0976430976431</v>
      </c>
      <c r="H506" t="s">
        <v>67</v>
      </c>
      <c r="I506" t="s">
        <v>72</v>
      </c>
      <c r="J506" t="s">
        <v>73</v>
      </c>
      <c r="K506">
        <v>6</v>
      </c>
      <c r="L506">
        <v>0.93598802756925703</v>
      </c>
    </row>
    <row r="507" spans="1:12">
      <c r="A507" t="str">
        <f t="shared" si="7"/>
        <v>C121H18</v>
      </c>
      <c r="B507">
        <v>18</v>
      </c>
      <c r="C507">
        <v>26</v>
      </c>
      <c r="D507">
        <v>21.503550739707201</v>
      </c>
      <c r="E507">
        <v>809</v>
      </c>
      <c r="F507">
        <v>1.2091026414530699</v>
      </c>
      <c r="G507">
        <v>3.2138442521631601</v>
      </c>
      <c r="H507" t="s">
        <v>67</v>
      </c>
      <c r="I507" t="s">
        <v>74</v>
      </c>
      <c r="J507" t="s">
        <v>75</v>
      </c>
      <c r="K507">
        <v>6</v>
      </c>
      <c r="L507">
        <v>1.0752096418638799</v>
      </c>
    </row>
    <row r="508" spans="1:12">
      <c r="A508" t="str">
        <f t="shared" si="7"/>
        <v>C313H18</v>
      </c>
      <c r="B508">
        <v>18</v>
      </c>
      <c r="C508">
        <v>149</v>
      </c>
      <c r="D508">
        <v>140.61072836100601</v>
      </c>
      <c r="E508">
        <v>4798</v>
      </c>
      <c r="F508">
        <v>1.0596630978075601</v>
      </c>
      <c r="G508">
        <v>3.1054606085869101</v>
      </c>
      <c r="H508" t="s">
        <v>67</v>
      </c>
      <c r="I508" t="s">
        <v>76</v>
      </c>
      <c r="J508" t="s">
        <v>77</v>
      </c>
      <c r="K508">
        <v>6</v>
      </c>
      <c r="L508">
        <v>1.0429008392155901</v>
      </c>
    </row>
    <row r="509" spans="1:12">
      <c r="A509" t="str">
        <f t="shared" si="7"/>
        <v>C418H18</v>
      </c>
      <c r="B509">
        <v>18</v>
      </c>
      <c r="C509">
        <v>273</v>
      </c>
      <c r="D509">
        <v>281.53779656609902</v>
      </c>
      <c r="E509">
        <v>9668</v>
      </c>
      <c r="F509">
        <v>0.96967442144452998</v>
      </c>
      <c r="G509">
        <v>2.8237484484898601</v>
      </c>
      <c r="H509" t="s">
        <v>67</v>
      </c>
      <c r="I509" t="s">
        <v>78</v>
      </c>
      <c r="J509" t="s">
        <v>79</v>
      </c>
      <c r="K509">
        <v>6</v>
      </c>
      <c r="L509">
        <v>1.05235378650682</v>
      </c>
    </row>
    <row r="510" spans="1:12">
      <c r="A510" t="str">
        <f t="shared" si="7"/>
        <v>D102H18</v>
      </c>
      <c r="B510">
        <v>18</v>
      </c>
      <c r="C510">
        <v>22</v>
      </c>
      <c r="D510">
        <v>26.872801176309</v>
      </c>
      <c r="E510">
        <v>4295</v>
      </c>
      <c r="F510">
        <v>0.81867163217041705</v>
      </c>
      <c r="G510">
        <v>0.51222351571594904</v>
      </c>
      <c r="H510" t="s">
        <v>67</v>
      </c>
      <c r="I510" t="s">
        <v>80</v>
      </c>
      <c r="J510" t="s">
        <v>81</v>
      </c>
      <c r="K510">
        <v>6</v>
      </c>
      <c r="L510">
        <v>0.87352703688802602</v>
      </c>
    </row>
    <row r="511" spans="1:12">
      <c r="A511" t="str">
        <f t="shared" si="7"/>
        <v>F704H18</v>
      </c>
      <c r="B511">
        <v>18</v>
      </c>
      <c r="C511">
        <v>363</v>
      </c>
      <c r="D511">
        <v>405.427986318195</v>
      </c>
      <c r="E511">
        <v>8238</v>
      </c>
      <c r="F511">
        <v>0.895350129369471</v>
      </c>
      <c r="G511">
        <v>4.4064093226511298</v>
      </c>
      <c r="H511" t="s">
        <v>67</v>
      </c>
      <c r="I511" t="s">
        <v>82</v>
      </c>
      <c r="J511" t="s">
        <v>83</v>
      </c>
      <c r="K511">
        <v>6</v>
      </c>
      <c r="L511">
        <v>0.90272028531239101</v>
      </c>
    </row>
    <row r="512" spans="1:12">
      <c r="A512" t="str">
        <f t="shared" ref="A512:A575" si="8">CONCATENATE(I512, B512)</f>
        <v>G107H18</v>
      </c>
      <c r="B512">
        <v>18</v>
      </c>
      <c r="C512">
        <v>365</v>
      </c>
      <c r="D512">
        <v>422.05726798758297</v>
      </c>
      <c r="E512">
        <v>13347</v>
      </c>
      <c r="F512">
        <v>0.86481154972253305</v>
      </c>
      <c r="G512">
        <v>2.7346969356409701</v>
      </c>
      <c r="H512" t="s">
        <v>67</v>
      </c>
      <c r="I512" t="s">
        <v>84</v>
      </c>
      <c r="J512" t="s">
        <v>85</v>
      </c>
      <c r="K512">
        <v>6</v>
      </c>
      <c r="L512">
        <v>0.93576528440658902</v>
      </c>
    </row>
    <row r="513" spans="1:12">
      <c r="A513" t="str">
        <f t="shared" si="8"/>
        <v>G405H18</v>
      </c>
      <c r="B513">
        <v>18</v>
      </c>
      <c r="C513">
        <v>359</v>
      </c>
      <c r="D513">
        <v>388.00794502975299</v>
      </c>
      <c r="E513">
        <v>11321</v>
      </c>
      <c r="F513">
        <v>0.92523878595442599</v>
      </c>
      <c r="G513">
        <v>3.1710979595442099</v>
      </c>
      <c r="H513" t="s">
        <v>67</v>
      </c>
      <c r="I513" t="s">
        <v>86</v>
      </c>
      <c r="J513" t="s">
        <v>87</v>
      </c>
      <c r="K513">
        <v>6</v>
      </c>
      <c r="L513">
        <v>0.89579964618789898</v>
      </c>
    </row>
    <row r="514" spans="1:12">
      <c r="A514" t="str">
        <f t="shared" si="8"/>
        <v>H103H18</v>
      </c>
      <c r="B514">
        <v>18</v>
      </c>
      <c r="C514">
        <v>40</v>
      </c>
      <c r="D514">
        <v>32.920762303743203</v>
      </c>
      <c r="E514">
        <v>840</v>
      </c>
      <c r="F514">
        <v>1.2150386929360999</v>
      </c>
      <c r="G514">
        <v>4.7619047619047601</v>
      </c>
      <c r="H514" t="s">
        <v>67</v>
      </c>
      <c r="I514" t="s">
        <v>88</v>
      </c>
      <c r="J514" t="s">
        <v>89</v>
      </c>
      <c r="K514">
        <v>6</v>
      </c>
      <c r="L514">
        <v>0.95639343972637003</v>
      </c>
    </row>
    <row r="515" spans="1:12">
      <c r="A515" t="str">
        <f t="shared" si="8"/>
        <v>H202H18</v>
      </c>
      <c r="B515">
        <v>18</v>
      </c>
      <c r="C515">
        <v>180</v>
      </c>
      <c r="D515">
        <v>219.62046786383101</v>
      </c>
      <c r="E515">
        <v>7647</v>
      </c>
      <c r="F515">
        <v>0.819595740555491</v>
      </c>
      <c r="G515">
        <v>2.3538642604943099</v>
      </c>
      <c r="H515" t="s">
        <v>67</v>
      </c>
      <c r="I515" t="s">
        <v>90</v>
      </c>
      <c r="J515" t="s">
        <v>91</v>
      </c>
      <c r="K515">
        <v>6</v>
      </c>
      <c r="L515">
        <v>0.80968385442442303</v>
      </c>
    </row>
    <row r="516" spans="1:12">
      <c r="A516" t="str">
        <f t="shared" si="8"/>
        <v>H212H18</v>
      </c>
      <c r="B516">
        <v>18</v>
      </c>
      <c r="C516">
        <v>24</v>
      </c>
      <c r="D516">
        <v>18.453730674875601</v>
      </c>
      <c r="E516">
        <v>386</v>
      </c>
      <c r="F516">
        <v>1.3005500309308999</v>
      </c>
      <c r="G516">
        <v>6.2176165803108798</v>
      </c>
      <c r="H516" t="s">
        <v>67</v>
      </c>
      <c r="I516" t="s">
        <v>92</v>
      </c>
      <c r="J516" t="s">
        <v>93</v>
      </c>
      <c r="K516">
        <v>6</v>
      </c>
      <c r="L516">
        <v>1.1016707463459801</v>
      </c>
    </row>
    <row r="517" spans="1:12">
      <c r="A517" t="str">
        <f t="shared" si="8"/>
        <v>L106H18</v>
      </c>
      <c r="B517">
        <v>18</v>
      </c>
      <c r="C517">
        <v>237</v>
      </c>
      <c r="D517">
        <v>289.259639491852</v>
      </c>
      <c r="E517">
        <v>8488</v>
      </c>
      <c r="F517">
        <v>0.81933310992277597</v>
      </c>
      <c r="G517">
        <v>2.7921771913289399</v>
      </c>
      <c r="H517" t="s">
        <v>67</v>
      </c>
      <c r="I517" t="s">
        <v>94</v>
      </c>
      <c r="J517" t="s">
        <v>95</v>
      </c>
      <c r="K517">
        <v>6</v>
      </c>
      <c r="L517">
        <v>0.89696303819414303</v>
      </c>
    </row>
    <row r="518" spans="1:12">
      <c r="A518" t="str">
        <f t="shared" si="8"/>
        <v>L302H18</v>
      </c>
      <c r="B518">
        <v>18</v>
      </c>
      <c r="C518">
        <v>201</v>
      </c>
      <c r="D518">
        <v>259.15256037025</v>
      </c>
      <c r="E518">
        <v>6950</v>
      </c>
      <c r="F518">
        <v>0.77560491670555898</v>
      </c>
      <c r="G518">
        <v>2.8920863309352498</v>
      </c>
      <c r="H518" t="s">
        <v>67</v>
      </c>
      <c r="I518" t="s">
        <v>96</v>
      </c>
      <c r="J518" t="s">
        <v>97</v>
      </c>
      <c r="K518">
        <v>6</v>
      </c>
      <c r="L518">
        <v>0.878762922326216</v>
      </c>
    </row>
    <row r="519" spans="1:12">
      <c r="A519" t="str">
        <f t="shared" si="8"/>
        <v>L308H18</v>
      </c>
      <c r="B519">
        <v>18</v>
      </c>
      <c r="C519">
        <v>250</v>
      </c>
      <c r="D519">
        <v>282.64556200690203</v>
      </c>
      <c r="E519">
        <v>9660</v>
      </c>
      <c r="F519">
        <v>0.88450000143251795</v>
      </c>
      <c r="G519">
        <v>2.5879917184265002</v>
      </c>
      <c r="H519" t="s">
        <v>67</v>
      </c>
      <c r="I519" t="s">
        <v>98</v>
      </c>
      <c r="J519" t="s">
        <v>99</v>
      </c>
      <c r="K519">
        <v>6</v>
      </c>
      <c r="L519">
        <v>0.96857016887987502</v>
      </c>
    </row>
    <row r="520" spans="1:12">
      <c r="A520" t="str">
        <f t="shared" si="8"/>
        <v>N101H18</v>
      </c>
      <c r="B520">
        <v>18</v>
      </c>
      <c r="C520">
        <v>411</v>
      </c>
      <c r="D520">
        <v>462.45669129339399</v>
      </c>
      <c r="E520">
        <v>15802</v>
      </c>
      <c r="F520">
        <v>0.88873186989795605</v>
      </c>
      <c r="G520">
        <v>2.6009365903050199</v>
      </c>
      <c r="H520" t="s">
        <v>67</v>
      </c>
      <c r="I520" t="s">
        <v>100</v>
      </c>
      <c r="J520" t="s">
        <v>101</v>
      </c>
      <c r="K520">
        <v>6</v>
      </c>
      <c r="L520">
        <v>0.90355698121760097</v>
      </c>
    </row>
    <row r="521" spans="1:12">
      <c r="A521" t="str">
        <f t="shared" si="8"/>
        <v>N411H18</v>
      </c>
      <c r="B521">
        <v>18</v>
      </c>
      <c r="C521">
        <v>93</v>
      </c>
      <c r="D521">
        <v>75.380256913016595</v>
      </c>
      <c r="E521">
        <v>3157</v>
      </c>
      <c r="F521">
        <v>1.2337448001446201</v>
      </c>
      <c r="G521">
        <v>2.9458346531517301</v>
      </c>
      <c r="H521" t="s">
        <v>67</v>
      </c>
      <c r="I521" t="s">
        <v>102</v>
      </c>
      <c r="J521" t="s">
        <v>103</v>
      </c>
      <c r="K521">
        <v>6</v>
      </c>
      <c r="L521">
        <v>1.05277871485177</v>
      </c>
    </row>
    <row r="522" spans="1:12">
      <c r="A522" t="str">
        <f t="shared" si="8"/>
        <v>R101H18</v>
      </c>
      <c r="B522">
        <v>18</v>
      </c>
      <c r="C522">
        <v>19</v>
      </c>
      <c r="D522">
        <v>24.8766457819229</v>
      </c>
      <c r="E522">
        <v>825</v>
      </c>
      <c r="F522">
        <v>0.76376856295500795</v>
      </c>
      <c r="G522">
        <v>2.3030303030303001</v>
      </c>
      <c r="H522" t="s">
        <v>67</v>
      </c>
      <c r="I522" t="s">
        <v>104</v>
      </c>
      <c r="J522" t="s">
        <v>105</v>
      </c>
      <c r="K522">
        <v>6</v>
      </c>
      <c r="L522">
        <v>1.1028535556602601</v>
      </c>
    </row>
    <row r="523" spans="1:12">
      <c r="A523" t="str">
        <f t="shared" si="8"/>
        <v>S116H18</v>
      </c>
      <c r="B523">
        <v>18</v>
      </c>
      <c r="C523">
        <v>217</v>
      </c>
      <c r="D523">
        <v>319.08037680927902</v>
      </c>
      <c r="E523">
        <v>7164</v>
      </c>
      <c r="F523">
        <v>0.68007942754093398</v>
      </c>
      <c r="G523">
        <v>3.0290340591848102</v>
      </c>
      <c r="H523" t="s">
        <v>67</v>
      </c>
      <c r="I523" t="s">
        <v>106</v>
      </c>
      <c r="J523" t="s">
        <v>107</v>
      </c>
      <c r="K523">
        <v>6</v>
      </c>
      <c r="L523">
        <v>0.73195717347600298</v>
      </c>
    </row>
    <row r="524" spans="1:12">
      <c r="A524" t="str">
        <f t="shared" si="8"/>
        <v>S308H18</v>
      </c>
      <c r="B524">
        <v>18</v>
      </c>
      <c r="C524">
        <v>170</v>
      </c>
      <c r="D524">
        <v>194.307848414994</v>
      </c>
      <c r="E524">
        <v>7498</v>
      </c>
      <c r="F524">
        <v>0.87490032639814697</v>
      </c>
      <c r="G524">
        <v>2.2672712723392898</v>
      </c>
      <c r="H524" t="s">
        <v>67</v>
      </c>
      <c r="I524" t="s">
        <v>108</v>
      </c>
      <c r="J524" t="s">
        <v>109</v>
      </c>
      <c r="K524">
        <v>6</v>
      </c>
      <c r="L524">
        <v>0.82384041788454598</v>
      </c>
    </row>
    <row r="525" spans="1:12">
      <c r="A525" t="str">
        <f t="shared" si="8"/>
        <v>S314H18</v>
      </c>
      <c r="B525">
        <v>18</v>
      </c>
      <c r="C525">
        <v>359</v>
      </c>
      <c r="D525">
        <v>441.82056199766799</v>
      </c>
      <c r="E525">
        <v>11704</v>
      </c>
      <c r="F525">
        <v>0.81254706294519297</v>
      </c>
      <c r="G525">
        <v>3.0673274094326701</v>
      </c>
      <c r="H525" t="s">
        <v>67</v>
      </c>
      <c r="I525" t="s">
        <v>110</v>
      </c>
      <c r="J525" t="s">
        <v>111</v>
      </c>
      <c r="K525">
        <v>6</v>
      </c>
      <c r="L525">
        <v>0.85577854102038298</v>
      </c>
    </row>
    <row r="526" spans="1:12">
      <c r="A526" t="str">
        <f t="shared" si="8"/>
        <v>T101H18</v>
      </c>
      <c r="B526">
        <v>18</v>
      </c>
      <c r="C526">
        <v>369</v>
      </c>
      <c r="D526">
        <v>426.77918148606398</v>
      </c>
      <c r="E526">
        <v>11604</v>
      </c>
      <c r="F526">
        <v>0.86461574511466399</v>
      </c>
      <c r="G526">
        <v>3.1799379524301998</v>
      </c>
      <c r="H526" t="s">
        <v>67</v>
      </c>
      <c r="I526" t="s">
        <v>112</v>
      </c>
      <c r="J526" t="s">
        <v>113</v>
      </c>
      <c r="K526">
        <v>6</v>
      </c>
      <c r="L526">
        <v>0.88582949535929401</v>
      </c>
    </row>
    <row r="527" spans="1:12">
      <c r="A527" t="str">
        <f t="shared" si="8"/>
        <v>T202H18</v>
      </c>
      <c r="B527">
        <v>18</v>
      </c>
      <c r="C527">
        <v>120</v>
      </c>
      <c r="D527">
        <v>145.051377507669</v>
      </c>
      <c r="E527">
        <v>3053</v>
      </c>
      <c r="F527">
        <v>0.82729307409476704</v>
      </c>
      <c r="G527">
        <v>3.9305601048149401</v>
      </c>
      <c r="H527" t="s">
        <v>67</v>
      </c>
      <c r="I527" t="s">
        <v>114</v>
      </c>
      <c r="J527" t="s">
        <v>115</v>
      </c>
      <c r="K527">
        <v>6</v>
      </c>
      <c r="L527">
        <v>0.89489497854894695</v>
      </c>
    </row>
    <row r="528" spans="1:12">
      <c r="A528" t="str">
        <f t="shared" si="8"/>
        <v>T312H18</v>
      </c>
      <c r="B528">
        <v>18</v>
      </c>
      <c r="C528">
        <v>2</v>
      </c>
      <c r="D528">
        <v>1.98215621058604</v>
      </c>
      <c r="E528">
        <v>1077</v>
      </c>
      <c r="F528">
        <v>1.0090022114900199</v>
      </c>
      <c r="G528">
        <v>0.185701021355617</v>
      </c>
      <c r="H528" t="s">
        <v>67</v>
      </c>
      <c r="I528" t="s">
        <v>116</v>
      </c>
      <c r="J528" t="s">
        <v>117</v>
      </c>
      <c r="K528">
        <v>6</v>
      </c>
      <c r="L528">
        <v>0.67748299973436199</v>
      </c>
    </row>
    <row r="529" spans="1:12">
      <c r="A529" t="str">
        <f t="shared" si="8"/>
        <v>V217H18</v>
      </c>
      <c r="B529">
        <v>18</v>
      </c>
      <c r="C529">
        <v>304</v>
      </c>
      <c r="D529">
        <v>309.80631009311401</v>
      </c>
      <c r="E529">
        <v>8358</v>
      </c>
      <c r="F529">
        <v>0.98125825748556095</v>
      </c>
      <c r="G529">
        <v>3.6372337879875598</v>
      </c>
      <c r="H529" t="s">
        <v>67</v>
      </c>
      <c r="I529" t="s">
        <v>118</v>
      </c>
      <c r="J529" t="s">
        <v>119</v>
      </c>
      <c r="K529">
        <v>6</v>
      </c>
      <c r="L529">
        <v>0.97469550244515601</v>
      </c>
    </row>
    <row r="530" spans="1:12">
      <c r="A530" t="str">
        <f t="shared" si="8"/>
        <v>W107H18</v>
      </c>
      <c r="B530">
        <v>18</v>
      </c>
      <c r="C530">
        <v>23</v>
      </c>
      <c r="D530">
        <v>19.512216690891801</v>
      </c>
      <c r="E530">
        <v>931</v>
      </c>
      <c r="F530">
        <v>1.17874869700152</v>
      </c>
      <c r="G530">
        <v>2.4704618689581102</v>
      </c>
      <c r="H530" t="s">
        <v>67</v>
      </c>
      <c r="I530" t="s">
        <v>120</v>
      </c>
      <c r="J530" t="s">
        <v>121</v>
      </c>
      <c r="K530">
        <v>6</v>
      </c>
      <c r="L530">
        <v>1.1170648426755201</v>
      </c>
    </row>
    <row r="531" spans="1:12">
      <c r="A531" t="str">
        <f t="shared" si="8"/>
        <v>Z102H18</v>
      </c>
      <c r="B531">
        <v>18</v>
      </c>
      <c r="C531">
        <v>26</v>
      </c>
      <c r="D531">
        <v>22.221977129093201</v>
      </c>
      <c r="E531">
        <v>884</v>
      </c>
      <c r="F531">
        <v>1.17001290429557</v>
      </c>
      <c r="G531">
        <v>2.9411764705882399</v>
      </c>
      <c r="H531" t="s">
        <v>67</v>
      </c>
      <c r="I531" t="s">
        <v>122</v>
      </c>
      <c r="J531" t="s">
        <v>123</v>
      </c>
      <c r="K531">
        <v>6</v>
      </c>
      <c r="L531">
        <v>1.0251249369697799</v>
      </c>
    </row>
    <row r="532" spans="1:12">
      <c r="A532" t="str">
        <f t="shared" si="8"/>
        <v>A111H19</v>
      </c>
      <c r="B532">
        <v>19</v>
      </c>
      <c r="C532">
        <v>254</v>
      </c>
      <c r="D532">
        <v>303.030293331915</v>
      </c>
      <c r="E532">
        <v>9336</v>
      </c>
      <c r="F532">
        <v>0.838200026826323</v>
      </c>
      <c r="G532">
        <v>2.7206512425021399</v>
      </c>
      <c r="H532" t="s">
        <v>67</v>
      </c>
      <c r="I532" t="s">
        <v>68</v>
      </c>
      <c r="J532" t="s">
        <v>69</v>
      </c>
      <c r="K532">
        <v>7</v>
      </c>
      <c r="L532">
        <v>0.84946181664504194</v>
      </c>
    </row>
    <row r="533" spans="1:12">
      <c r="A533" t="str">
        <f t="shared" si="8"/>
        <v>A210H19</v>
      </c>
      <c r="B533">
        <v>19</v>
      </c>
      <c r="C533">
        <v>179</v>
      </c>
      <c r="D533">
        <v>228.180509000923</v>
      </c>
      <c r="E533">
        <v>6606</v>
      </c>
      <c r="F533">
        <v>0.78446665222959799</v>
      </c>
      <c r="G533">
        <v>2.7096578867696</v>
      </c>
      <c r="H533" t="s">
        <v>67</v>
      </c>
      <c r="I533" t="s">
        <v>70</v>
      </c>
      <c r="J533" t="s">
        <v>71</v>
      </c>
      <c r="K533">
        <v>7</v>
      </c>
      <c r="L533">
        <v>0.90843418621550398</v>
      </c>
    </row>
    <row r="534" spans="1:12">
      <c r="A534" t="str">
        <f t="shared" si="8"/>
        <v>B120H19</v>
      </c>
      <c r="B534">
        <v>19</v>
      </c>
      <c r="C534">
        <v>138</v>
      </c>
      <c r="D534">
        <v>145.22230149478801</v>
      </c>
      <c r="E534">
        <v>4384</v>
      </c>
      <c r="F534">
        <v>0.950267270106258</v>
      </c>
      <c r="G534">
        <v>3.1478102189780999</v>
      </c>
      <c r="H534" t="s">
        <v>67</v>
      </c>
      <c r="I534" t="s">
        <v>72</v>
      </c>
      <c r="J534" t="s">
        <v>73</v>
      </c>
      <c r="K534">
        <v>7</v>
      </c>
      <c r="L534">
        <v>0.93620013223513798</v>
      </c>
    </row>
    <row r="535" spans="1:12">
      <c r="A535" t="str">
        <f t="shared" si="8"/>
        <v>C121H19</v>
      </c>
      <c r="B535">
        <v>19</v>
      </c>
      <c r="C535">
        <v>21</v>
      </c>
      <c r="D535">
        <v>19.715178624759499</v>
      </c>
      <c r="E535">
        <v>780</v>
      </c>
      <c r="F535">
        <v>1.0651691470665601</v>
      </c>
      <c r="G535">
        <v>2.6923076923076898</v>
      </c>
      <c r="H535" t="s">
        <v>67</v>
      </c>
      <c r="I535" t="s">
        <v>74</v>
      </c>
      <c r="J535" t="s">
        <v>75</v>
      </c>
      <c r="K535">
        <v>7</v>
      </c>
      <c r="L535">
        <v>1.0721664278874801</v>
      </c>
    </row>
    <row r="536" spans="1:12">
      <c r="A536" t="str">
        <f t="shared" si="8"/>
        <v>C313H19</v>
      </c>
      <c r="B536">
        <v>19</v>
      </c>
      <c r="C536">
        <v>135</v>
      </c>
      <c r="D536">
        <v>136.18572283794799</v>
      </c>
      <c r="E536">
        <v>4529</v>
      </c>
      <c r="F536">
        <v>0.99129333961564403</v>
      </c>
      <c r="G536">
        <v>2.9807904614705198</v>
      </c>
      <c r="H536" t="s">
        <v>67</v>
      </c>
      <c r="I536" t="s">
        <v>76</v>
      </c>
      <c r="J536" t="s">
        <v>77</v>
      </c>
      <c r="K536">
        <v>7</v>
      </c>
      <c r="L536">
        <v>1.02941491428361</v>
      </c>
    </row>
    <row r="537" spans="1:12">
      <c r="A537" t="str">
        <f t="shared" si="8"/>
        <v>C418H19</v>
      </c>
      <c r="B537">
        <v>19</v>
      </c>
      <c r="C537">
        <v>275</v>
      </c>
      <c r="D537">
        <v>274.81031111087998</v>
      </c>
      <c r="E537">
        <v>9546</v>
      </c>
      <c r="F537">
        <v>1.0006902539004201</v>
      </c>
      <c r="G537">
        <v>2.8807877645087001</v>
      </c>
      <c r="H537" t="s">
        <v>67</v>
      </c>
      <c r="I537" t="s">
        <v>78</v>
      </c>
      <c r="J537" t="s">
        <v>79</v>
      </c>
      <c r="K537">
        <v>7</v>
      </c>
      <c r="L537">
        <v>1.04791187022676</v>
      </c>
    </row>
    <row r="538" spans="1:12">
      <c r="A538" t="str">
        <f t="shared" si="8"/>
        <v>D102H19</v>
      </c>
      <c r="B538">
        <v>19</v>
      </c>
      <c r="C538">
        <v>24</v>
      </c>
      <c r="D538">
        <v>29.822919739387501</v>
      </c>
      <c r="E538">
        <v>4505</v>
      </c>
      <c r="F538">
        <v>0.804750179047791</v>
      </c>
      <c r="G538">
        <v>0.53274139844617097</v>
      </c>
      <c r="H538" t="s">
        <v>67</v>
      </c>
      <c r="I538" t="s">
        <v>80</v>
      </c>
      <c r="J538" t="s">
        <v>81</v>
      </c>
      <c r="K538">
        <v>7</v>
      </c>
      <c r="L538">
        <v>0.88330708947978298</v>
      </c>
    </row>
    <row r="539" spans="1:12">
      <c r="A539" t="str">
        <f t="shared" si="8"/>
        <v>F704H19</v>
      </c>
      <c r="B539">
        <v>19</v>
      </c>
      <c r="C539">
        <v>337</v>
      </c>
      <c r="D539">
        <v>395.68861221960299</v>
      </c>
      <c r="E539">
        <v>8306</v>
      </c>
      <c r="F539">
        <v>0.85167980475760596</v>
      </c>
      <c r="G539">
        <v>4.0573079701420696</v>
      </c>
      <c r="H539" t="s">
        <v>67</v>
      </c>
      <c r="I539" t="s">
        <v>82</v>
      </c>
      <c r="J539" t="s">
        <v>83</v>
      </c>
      <c r="K539">
        <v>7</v>
      </c>
      <c r="L539">
        <v>0.90217635093431503</v>
      </c>
    </row>
    <row r="540" spans="1:12">
      <c r="A540" t="str">
        <f t="shared" si="8"/>
        <v>G107H19</v>
      </c>
      <c r="B540">
        <v>19</v>
      </c>
      <c r="C540">
        <v>349</v>
      </c>
      <c r="D540">
        <v>418.87538359170298</v>
      </c>
      <c r="E540">
        <v>13705</v>
      </c>
      <c r="F540">
        <v>0.83318336114061697</v>
      </c>
      <c r="G540">
        <v>2.5465158701203898</v>
      </c>
      <c r="H540" t="s">
        <v>67</v>
      </c>
      <c r="I540" t="s">
        <v>84</v>
      </c>
      <c r="J540" t="s">
        <v>85</v>
      </c>
      <c r="K540">
        <v>7</v>
      </c>
      <c r="L540">
        <v>0.93084551863257003</v>
      </c>
    </row>
    <row r="541" spans="1:12">
      <c r="A541" t="str">
        <f t="shared" si="8"/>
        <v>G405H19</v>
      </c>
      <c r="B541">
        <v>19</v>
      </c>
      <c r="C541">
        <v>586</v>
      </c>
      <c r="D541">
        <v>619.67166571140001</v>
      </c>
      <c r="E541">
        <v>16817</v>
      </c>
      <c r="F541">
        <v>0.94566208594878398</v>
      </c>
      <c r="G541">
        <v>3.4845691859427999</v>
      </c>
      <c r="H541" t="s">
        <v>67</v>
      </c>
      <c r="I541" t="s">
        <v>86</v>
      </c>
      <c r="J541" t="s">
        <v>87</v>
      </c>
      <c r="K541">
        <v>7</v>
      </c>
      <c r="L541">
        <v>0.89585678677051594</v>
      </c>
    </row>
    <row r="542" spans="1:12">
      <c r="A542" t="str">
        <f t="shared" si="8"/>
        <v>H103H19</v>
      </c>
      <c r="B542">
        <v>19</v>
      </c>
      <c r="C542">
        <v>19</v>
      </c>
      <c r="D542">
        <v>27.5078326596634</v>
      </c>
      <c r="E542">
        <v>801</v>
      </c>
      <c r="F542">
        <v>0.69071235946047504</v>
      </c>
      <c r="G542">
        <v>2.3720349563046201</v>
      </c>
      <c r="H542" t="s">
        <v>67</v>
      </c>
      <c r="I542" t="s">
        <v>88</v>
      </c>
      <c r="J542" t="s">
        <v>89</v>
      </c>
      <c r="K542">
        <v>7</v>
      </c>
      <c r="L542">
        <v>0.94992018069856499</v>
      </c>
    </row>
    <row r="543" spans="1:12">
      <c r="A543" t="str">
        <f t="shared" si="8"/>
        <v>H202H19</v>
      </c>
      <c r="B543">
        <v>19</v>
      </c>
      <c r="C543">
        <v>165</v>
      </c>
      <c r="D543">
        <v>222.77245408872599</v>
      </c>
      <c r="E543">
        <v>7662</v>
      </c>
      <c r="F543">
        <v>0.74066607864490996</v>
      </c>
      <c r="G543">
        <v>2.1534847298355499</v>
      </c>
      <c r="H543" t="s">
        <v>67</v>
      </c>
      <c r="I543" t="s">
        <v>90</v>
      </c>
      <c r="J543" t="s">
        <v>91</v>
      </c>
      <c r="K543">
        <v>7</v>
      </c>
      <c r="L543">
        <v>0.81314440579741798</v>
      </c>
    </row>
    <row r="544" spans="1:12">
      <c r="A544" t="str">
        <f t="shared" si="8"/>
        <v>H212H19</v>
      </c>
      <c r="B544">
        <v>19</v>
      </c>
      <c r="C544">
        <v>30</v>
      </c>
      <c r="D544">
        <v>18.627495244374</v>
      </c>
      <c r="E544">
        <v>401</v>
      </c>
      <c r="F544">
        <v>1.61052248874205</v>
      </c>
      <c r="G544">
        <v>7.4812967581047403</v>
      </c>
      <c r="H544" t="s">
        <v>67</v>
      </c>
      <c r="I544" t="s">
        <v>92</v>
      </c>
      <c r="J544" t="s">
        <v>93</v>
      </c>
      <c r="K544">
        <v>7</v>
      </c>
      <c r="L544">
        <v>1.1025830597370001</v>
      </c>
    </row>
    <row r="545" spans="1:12">
      <c r="A545" t="str">
        <f t="shared" si="8"/>
        <v>L106H19</v>
      </c>
      <c r="B545">
        <v>19</v>
      </c>
      <c r="C545">
        <v>210</v>
      </c>
      <c r="D545">
        <v>277.66712762836602</v>
      </c>
      <c r="E545">
        <v>8641</v>
      </c>
      <c r="F545">
        <v>0.75630126545288101</v>
      </c>
      <c r="G545">
        <v>2.4302742738109</v>
      </c>
      <c r="H545" t="s">
        <v>67</v>
      </c>
      <c r="I545" t="s">
        <v>94</v>
      </c>
      <c r="J545" t="s">
        <v>95</v>
      </c>
      <c r="K545">
        <v>7</v>
      </c>
      <c r="L545">
        <v>0.88726131699397803</v>
      </c>
    </row>
    <row r="546" spans="1:12">
      <c r="A546" t="str">
        <f t="shared" si="8"/>
        <v>L302H19</v>
      </c>
      <c r="B546">
        <v>19</v>
      </c>
      <c r="C546">
        <v>202</v>
      </c>
      <c r="D546">
        <v>253.65517153007301</v>
      </c>
      <c r="E546">
        <v>7365</v>
      </c>
      <c r="F546">
        <v>0.79635671838077005</v>
      </c>
      <c r="G546">
        <v>2.74270196877122</v>
      </c>
      <c r="H546" t="s">
        <v>67</v>
      </c>
      <c r="I546" t="s">
        <v>96</v>
      </c>
      <c r="J546" t="s">
        <v>97</v>
      </c>
      <c r="K546">
        <v>7</v>
      </c>
      <c r="L546">
        <v>0.86976421881565003</v>
      </c>
    </row>
    <row r="547" spans="1:12">
      <c r="A547" t="str">
        <f t="shared" si="8"/>
        <v>L308H19</v>
      </c>
      <c r="B547">
        <v>19</v>
      </c>
      <c r="C547">
        <v>265</v>
      </c>
      <c r="D547">
        <v>283.32971785689102</v>
      </c>
      <c r="E547">
        <v>9592</v>
      </c>
      <c r="F547">
        <v>0.93530605262470401</v>
      </c>
      <c r="G547">
        <v>2.7627189324437</v>
      </c>
      <c r="H547" t="s">
        <v>67</v>
      </c>
      <c r="I547" t="s">
        <v>98</v>
      </c>
      <c r="J547" t="s">
        <v>99</v>
      </c>
      <c r="K547">
        <v>7</v>
      </c>
      <c r="L547">
        <v>0.94951967571753604</v>
      </c>
    </row>
    <row r="548" spans="1:12">
      <c r="A548" t="str">
        <f t="shared" si="8"/>
        <v>N101H19</v>
      </c>
      <c r="B548">
        <v>19</v>
      </c>
      <c r="C548">
        <v>401</v>
      </c>
      <c r="D548">
        <v>475.53554601683902</v>
      </c>
      <c r="E548">
        <v>15372</v>
      </c>
      <c r="F548">
        <v>0.84325978017592895</v>
      </c>
      <c r="G548">
        <v>2.60863908404892</v>
      </c>
      <c r="H548" t="s">
        <v>67</v>
      </c>
      <c r="I548" t="s">
        <v>100</v>
      </c>
      <c r="J548" t="s">
        <v>101</v>
      </c>
      <c r="K548">
        <v>7</v>
      </c>
      <c r="L548">
        <v>0.90238340170443399</v>
      </c>
    </row>
    <row r="549" spans="1:12">
      <c r="A549" t="str">
        <f t="shared" si="8"/>
        <v>N411H19</v>
      </c>
      <c r="B549">
        <v>19</v>
      </c>
      <c r="C549">
        <v>85</v>
      </c>
      <c r="D549">
        <v>70.533300400184103</v>
      </c>
      <c r="E549">
        <v>2798</v>
      </c>
      <c r="F549">
        <v>1.20510453243697</v>
      </c>
      <c r="G549">
        <v>3.03788420300214</v>
      </c>
      <c r="H549" t="s">
        <v>67</v>
      </c>
      <c r="I549" t="s">
        <v>102</v>
      </c>
      <c r="J549" t="s">
        <v>103</v>
      </c>
      <c r="K549">
        <v>7</v>
      </c>
      <c r="L549">
        <v>1.0509942843645099</v>
      </c>
    </row>
    <row r="550" spans="1:12">
      <c r="A550" t="str">
        <f t="shared" si="8"/>
        <v>R101H19</v>
      </c>
      <c r="B550">
        <v>19</v>
      </c>
      <c r="C550">
        <v>27</v>
      </c>
      <c r="D550">
        <v>30.0526331415094</v>
      </c>
      <c r="E550">
        <v>743</v>
      </c>
      <c r="F550">
        <v>0.89842377115058802</v>
      </c>
      <c r="G550">
        <v>3.6339165545087502</v>
      </c>
      <c r="H550" t="s">
        <v>67</v>
      </c>
      <c r="I550" t="s">
        <v>104</v>
      </c>
      <c r="J550" t="s">
        <v>105</v>
      </c>
      <c r="K550">
        <v>7</v>
      </c>
      <c r="L550">
        <v>1.0812539316602801</v>
      </c>
    </row>
    <row r="551" spans="1:12">
      <c r="A551" t="str">
        <f t="shared" si="8"/>
        <v>S116H19</v>
      </c>
      <c r="B551">
        <v>19</v>
      </c>
      <c r="C551">
        <v>232</v>
      </c>
      <c r="D551">
        <v>328.33782140883602</v>
      </c>
      <c r="E551">
        <v>7172</v>
      </c>
      <c r="F551">
        <v>0.70658932621448201</v>
      </c>
      <c r="G551">
        <v>3.2348020078081401</v>
      </c>
      <c r="H551" t="s">
        <v>67</v>
      </c>
      <c r="I551" t="s">
        <v>106</v>
      </c>
      <c r="J551" t="s">
        <v>107</v>
      </c>
      <c r="K551">
        <v>7</v>
      </c>
      <c r="L551">
        <v>0.72717093234919195</v>
      </c>
    </row>
    <row r="552" spans="1:12">
      <c r="A552" t="str">
        <f t="shared" si="8"/>
        <v>S308H19</v>
      </c>
      <c r="B552">
        <v>19</v>
      </c>
      <c r="C552">
        <v>145</v>
      </c>
      <c r="D552">
        <v>187.43918828109301</v>
      </c>
      <c r="E552">
        <v>7080</v>
      </c>
      <c r="F552">
        <v>0.773584229262406</v>
      </c>
      <c r="G552">
        <v>2.0480225988700602</v>
      </c>
      <c r="H552" t="s">
        <v>67</v>
      </c>
      <c r="I552" t="s">
        <v>108</v>
      </c>
      <c r="J552" t="s">
        <v>109</v>
      </c>
      <c r="K552">
        <v>7</v>
      </c>
      <c r="L552">
        <v>0.81783683396171503</v>
      </c>
    </row>
    <row r="553" spans="1:12">
      <c r="A553" t="str">
        <f t="shared" si="8"/>
        <v>S314H19</v>
      </c>
      <c r="B553">
        <v>19</v>
      </c>
      <c r="C553">
        <v>351</v>
      </c>
      <c r="D553">
        <v>421.88525507933002</v>
      </c>
      <c r="E553">
        <v>11638</v>
      </c>
      <c r="F553">
        <v>0.831979775955903</v>
      </c>
      <c r="G553">
        <v>3.0159821275133201</v>
      </c>
      <c r="H553" t="s">
        <v>67</v>
      </c>
      <c r="I553" t="s">
        <v>110</v>
      </c>
      <c r="J553" t="s">
        <v>111</v>
      </c>
      <c r="K553">
        <v>7</v>
      </c>
      <c r="L553">
        <v>0.85492515007083802</v>
      </c>
    </row>
    <row r="554" spans="1:12">
      <c r="A554" t="str">
        <f t="shared" si="8"/>
        <v>T101H19</v>
      </c>
      <c r="B554">
        <v>19</v>
      </c>
      <c r="C554">
        <v>340</v>
      </c>
      <c r="D554">
        <v>426.14201536996097</v>
      </c>
      <c r="E554">
        <v>11518</v>
      </c>
      <c r="F554">
        <v>0.79785608491297</v>
      </c>
      <c r="G554">
        <v>2.9519013717659299</v>
      </c>
      <c r="H554" t="s">
        <v>67</v>
      </c>
      <c r="I554" t="s">
        <v>112</v>
      </c>
      <c r="J554" t="s">
        <v>113</v>
      </c>
      <c r="K554">
        <v>7</v>
      </c>
      <c r="L554">
        <v>0.88064815515678796</v>
      </c>
    </row>
    <row r="555" spans="1:12">
      <c r="A555" t="str">
        <f t="shared" si="8"/>
        <v>T202H19</v>
      </c>
      <c r="B555">
        <v>19</v>
      </c>
      <c r="C555">
        <v>107</v>
      </c>
      <c r="D555">
        <v>135.34299576109501</v>
      </c>
      <c r="E555">
        <v>3005</v>
      </c>
      <c r="F555">
        <v>0.79058394856926495</v>
      </c>
      <c r="G555">
        <v>3.56073211314476</v>
      </c>
      <c r="H555" t="s">
        <v>67</v>
      </c>
      <c r="I555" t="s">
        <v>114</v>
      </c>
      <c r="J555" t="s">
        <v>115</v>
      </c>
      <c r="K555">
        <v>7</v>
      </c>
      <c r="L555">
        <v>0.89530389862756798</v>
      </c>
    </row>
    <row r="556" spans="1:12">
      <c r="A556" t="str">
        <f t="shared" si="8"/>
        <v>T312H19</v>
      </c>
      <c r="B556">
        <v>19</v>
      </c>
      <c r="C556">
        <v>1</v>
      </c>
      <c r="D556">
        <v>1.10368142132245</v>
      </c>
      <c r="E556">
        <v>1050</v>
      </c>
      <c r="F556">
        <v>0.90605856063227397</v>
      </c>
      <c r="G556">
        <v>9.5238095238095205E-2</v>
      </c>
      <c r="H556" t="s">
        <v>67</v>
      </c>
      <c r="I556" t="s">
        <v>116</v>
      </c>
      <c r="J556" t="s">
        <v>117</v>
      </c>
      <c r="K556">
        <v>7</v>
      </c>
      <c r="L556">
        <v>0.68569810915857998</v>
      </c>
    </row>
    <row r="557" spans="1:12">
      <c r="A557" t="str">
        <f t="shared" si="8"/>
        <v>V217H19</v>
      </c>
      <c r="B557">
        <v>19</v>
      </c>
      <c r="C557">
        <v>282</v>
      </c>
      <c r="D557">
        <v>310.797058860623</v>
      </c>
      <c r="E557">
        <v>8297</v>
      </c>
      <c r="F557">
        <v>0.90734449365063996</v>
      </c>
      <c r="G557">
        <v>3.3988188501868102</v>
      </c>
      <c r="H557" t="s">
        <v>67</v>
      </c>
      <c r="I557" t="s">
        <v>118</v>
      </c>
      <c r="J557" t="s">
        <v>119</v>
      </c>
      <c r="K557">
        <v>7</v>
      </c>
      <c r="L557">
        <v>0.97492970776954102</v>
      </c>
    </row>
    <row r="558" spans="1:12">
      <c r="A558" t="str">
        <f t="shared" si="8"/>
        <v>W107H19</v>
      </c>
      <c r="B558">
        <v>19</v>
      </c>
      <c r="C558">
        <v>23</v>
      </c>
      <c r="D558">
        <v>20.707374930458801</v>
      </c>
      <c r="E558">
        <v>1032</v>
      </c>
      <c r="F558">
        <v>1.1107153889491299</v>
      </c>
      <c r="G558">
        <v>2.2286821705426401</v>
      </c>
      <c r="H558" t="s">
        <v>67</v>
      </c>
      <c r="I558" t="s">
        <v>120</v>
      </c>
      <c r="J558" t="s">
        <v>121</v>
      </c>
      <c r="K558">
        <v>7</v>
      </c>
      <c r="L558">
        <v>1.0990028498642399</v>
      </c>
    </row>
    <row r="559" spans="1:12">
      <c r="A559" t="str">
        <f t="shared" si="8"/>
        <v>Z102H19</v>
      </c>
      <c r="B559">
        <v>19</v>
      </c>
      <c r="C559">
        <v>19</v>
      </c>
      <c r="D559">
        <v>21.423145327788198</v>
      </c>
      <c r="E559">
        <v>913</v>
      </c>
      <c r="F559">
        <v>0.88689124352598503</v>
      </c>
      <c r="G559">
        <v>2.0810514786418399</v>
      </c>
      <c r="H559" t="s">
        <v>67</v>
      </c>
      <c r="I559" t="s">
        <v>122</v>
      </c>
      <c r="J559" t="s">
        <v>123</v>
      </c>
      <c r="K559">
        <v>7</v>
      </c>
      <c r="L559">
        <v>1.0254378628554599</v>
      </c>
    </row>
    <row r="560" spans="1:12">
      <c r="A560" t="str">
        <f t="shared" si="8"/>
        <v>A111H20</v>
      </c>
      <c r="B560">
        <v>20</v>
      </c>
      <c r="C560">
        <v>286</v>
      </c>
      <c r="D560">
        <v>320.70056601689203</v>
      </c>
      <c r="E560">
        <v>9713</v>
      </c>
      <c r="F560">
        <v>0.89179761530241897</v>
      </c>
      <c r="G560">
        <v>2.9445073612683998</v>
      </c>
      <c r="H560" t="s">
        <v>67</v>
      </c>
      <c r="I560" t="s">
        <v>68</v>
      </c>
      <c r="J560" t="s">
        <v>69</v>
      </c>
      <c r="K560">
        <v>8</v>
      </c>
      <c r="L560">
        <v>0.840878247426328</v>
      </c>
    </row>
    <row r="561" spans="1:12">
      <c r="A561" t="str">
        <f t="shared" si="8"/>
        <v>A210H20</v>
      </c>
      <c r="B561">
        <v>20</v>
      </c>
      <c r="C561">
        <v>212</v>
      </c>
      <c r="D561">
        <v>234.592111707432</v>
      </c>
      <c r="E561">
        <v>6783</v>
      </c>
      <c r="F561">
        <v>0.90369620042635002</v>
      </c>
      <c r="G561">
        <v>3.1254607106000298</v>
      </c>
      <c r="H561" t="s">
        <v>67</v>
      </c>
      <c r="I561" t="s">
        <v>70</v>
      </c>
      <c r="J561" t="s">
        <v>71</v>
      </c>
      <c r="K561">
        <v>8</v>
      </c>
      <c r="L561">
        <v>0.899893393181186</v>
      </c>
    </row>
    <row r="562" spans="1:12">
      <c r="A562" t="str">
        <f t="shared" si="8"/>
        <v>B120H20</v>
      </c>
      <c r="B562">
        <v>20</v>
      </c>
      <c r="C562">
        <v>149</v>
      </c>
      <c r="D562">
        <v>161.441683993661</v>
      </c>
      <c r="E562">
        <v>4387</v>
      </c>
      <c r="F562">
        <v>0.92293388122642805</v>
      </c>
      <c r="G562">
        <v>3.39639844996581</v>
      </c>
      <c r="H562" t="s">
        <v>67</v>
      </c>
      <c r="I562" t="s">
        <v>72</v>
      </c>
      <c r="J562" t="s">
        <v>73</v>
      </c>
      <c r="K562">
        <v>8</v>
      </c>
      <c r="L562">
        <v>0.93641223690101805</v>
      </c>
    </row>
    <row r="563" spans="1:12">
      <c r="A563" t="str">
        <f t="shared" si="8"/>
        <v>C121H20</v>
      </c>
      <c r="B563">
        <v>20</v>
      </c>
      <c r="C563">
        <v>28</v>
      </c>
      <c r="D563">
        <v>20.830369564248699</v>
      </c>
      <c r="E563">
        <v>831</v>
      </c>
      <c r="F563">
        <v>1.34419122587516</v>
      </c>
      <c r="G563">
        <v>3.3694344163658201</v>
      </c>
      <c r="H563" t="s">
        <v>67</v>
      </c>
      <c r="I563" t="s">
        <v>74</v>
      </c>
      <c r="J563" t="s">
        <v>75</v>
      </c>
      <c r="K563">
        <v>8</v>
      </c>
      <c r="L563">
        <v>1.06912321391109</v>
      </c>
    </row>
    <row r="564" spans="1:12">
      <c r="A564" t="str">
        <f t="shared" si="8"/>
        <v>C313H20</v>
      </c>
      <c r="B564">
        <v>20</v>
      </c>
      <c r="C564">
        <v>139</v>
      </c>
      <c r="D564">
        <v>135.99884009258699</v>
      </c>
      <c r="E564">
        <v>4695</v>
      </c>
      <c r="F564">
        <v>1.0220675404685</v>
      </c>
      <c r="G564">
        <v>2.9605963791267298</v>
      </c>
      <c r="H564" t="s">
        <v>67</v>
      </c>
      <c r="I564" t="s">
        <v>76</v>
      </c>
      <c r="J564" t="s">
        <v>77</v>
      </c>
      <c r="K564">
        <v>8</v>
      </c>
      <c r="L564">
        <v>1.0159289893516299</v>
      </c>
    </row>
    <row r="565" spans="1:12">
      <c r="A565" t="str">
        <f t="shared" si="8"/>
        <v>C418H20</v>
      </c>
      <c r="B565">
        <v>20</v>
      </c>
      <c r="C565">
        <v>286</v>
      </c>
      <c r="D565">
        <v>288.51101110530499</v>
      </c>
      <c r="E565">
        <v>10358</v>
      </c>
      <c r="F565">
        <v>0.99129665417037105</v>
      </c>
      <c r="G565">
        <v>2.76115080131299</v>
      </c>
      <c r="H565" t="s">
        <v>67</v>
      </c>
      <c r="I565" t="s">
        <v>78</v>
      </c>
      <c r="J565" t="s">
        <v>79</v>
      </c>
      <c r="K565">
        <v>8</v>
      </c>
      <c r="L565">
        <v>1.0434699539466901</v>
      </c>
    </row>
    <row r="566" spans="1:12">
      <c r="A566" t="str">
        <f t="shared" si="8"/>
        <v>D102H20</v>
      </c>
      <c r="B566">
        <v>20</v>
      </c>
      <c r="C566">
        <v>29</v>
      </c>
      <c r="D566">
        <v>29.5139084445596</v>
      </c>
      <c r="E566">
        <v>4619</v>
      </c>
      <c r="F566">
        <v>0.98258758423931103</v>
      </c>
      <c r="G566">
        <v>0.62784152413942396</v>
      </c>
      <c r="H566" t="s">
        <v>67</v>
      </c>
      <c r="I566" t="s">
        <v>80</v>
      </c>
      <c r="J566" t="s">
        <v>81</v>
      </c>
      <c r="K566">
        <v>8</v>
      </c>
      <c r="L566">
        <v>0.89308714207154105</v>
      </c>
    </row>
    <row r="567" spans="1:12">
      <c r="A567" t="str">
        <f t="shared" si="8"/>
        <v>F704H20</v>
      </c>
      <c r="B567">
        <v>20</v>
      </c>
      <c r="C567">
        <v>402</v>
      </c>
      <c r="D567">
        <v>437.70673346567003</v>
      </c>
      <c r="E567">
        <v>8458</v>
      </c>
      <c r="F567">
        <v>0.91842315702353505</v>
      </c>
      <c r="G567">
        <v>4.7528966658784597</v>
      </c>
      <c r="H567" t="s">
        <v>67</v>
      </c>
      <c r="I567" t="s">
        <v>82</v>
      </c>
      <c r="J567" t="s">
        <v>83</v>
      </c>
      <c r="K567">
        <v>8</v>
      </c>
      <c r="L567">
        <v>0.90163241655623905</v>
      </c>
    </row>
    <row r="568" spans="1:12">
      <c r="A568" t="str">
        <f t="shared" si="8"/>
        <v>G107H20</v>
      </c>
      <c r="B568">
        <v>20</v>
      </c>
      <c r="C568">
        <v>423</v>
      </c>
      <c r="D568">
        <v>467.92851162617598</v>
      </c>
      <c r="E568">
        <v>14076</v>
      </c>
      <c r="F568">
        <v>0.90398424009249301</v>
      </c>
      <c r="G568">
        <v>3.0051150895140699</v>
      </c>
      <c r="H568" t="s">
        <v>67</v>
      </c>
      <c r="I568" t="s">
        <v>84</v>
      </c>
      <c r="J568" t="s">
        <v>85</v>
      </c>
      <c r="K568">
        <v>8</v>
      </c>
      <c r="L568">
        <v>0.92592575285855006</v>
      </c>
    </row>
    <row r="569" spans="1:12">
      <c r="A569" t="str">
        <f t="shared" si="8"/>
        <v>G405H20</v>
      </c>
      <c r="B569">
        <v>20</v>
      </c>
      <c r="C569">
        <v>606</v>
      </c>
      <c r="D569">
        <v>684.46409973441098</v>
      </c>
      <c r="E569">
        <v>16567</v>
      </c>
      <c r="F569">
        <v>0.88536418525842797</v>
      </c>
      <c r="G569">
        <v>3.6578740870405002</v>
      </c>
      <c r="H569" t="s">
        <v>67</v>
      </c>
      <c r="I569" t="s">
        <v>86</v>
      </c>
      <c r="J569" t="s">
        <v>87</v>
      </c>
      <c r="K569">
        <v>8</v>
      </c>
      <c r="L569">
        <v>0.89591392735313402</v>
      </c>
    </row>
    <row r="570" spans="1:12">
      <c r="A570" t="str">
        <f t="shared" si="8"/>
        <v>H103H20</v>
      </c>
      <c r="B570">
        <v>20</v>
      </c>
      <c r="C570">
        <v>34</v>
      </c>
      <c r="D570">
        <v>34.1675452814913</v>
      </c>
      <c r="E570">
        <v>778</v>
      </c>
      <c r="F570">
        <v>0.99509636176345195</v>
      </c>
      <c r="G570">
        <v>4.3701799485861201</v>
      </c>
      <c r="H570" t="s">
        <v>67</v>
      </c>
      <c r="I570" t="s">
        <v>88</v>
      </c>
      <c r="J570" t="s">
        <v>89</v>
      </c>
      <c r="K570">
        <v>8</v>
      </c>
      <c r="L570">
        <v>0.94344692167076005</v>
      </c>
    </row>
    <row r="571" spans="1:12">
      <c r="A571" t="str">
        <f t="shared" si="8"/>
        <v>H202H20</v>
      </c>
      <c r="B571">
        <v>20</v>
      </c>
      <c r="C571">
        <v>174</v>
      </c>
      <c r="D571">
        <v>224.20721223367499</v>
      </c>
      <c r="E571">
        <v>7387</v>
      </c>
      <c r="F571">
        <v>0.77606780917757601</v>
      </c>
      <c r="G571">
        <v>2.35548937322323</v>
      </c>
      <c r="H571" t="s">
        <v>67</v>
      </c>
      <c r="I571" t="s">
        <v>90</v>
      </c>
      <c r="J571" t="s">
        <v>91</v>
      </c>
      <c r="K571">
        <v>8</v>
      </c>
      <c r="L571">
        <v>0.81660495717041304</v>
      </c>
    </row>
    <row r="572" spans="1:12">
      <c r="A572" t="str">
        <f t="shared" si="8"/>
        <v>H212H20</v>
      </c>
      <c r="B572">
        <v>20</v>
      </c>
      <c r="C572">
        <v>30</v>
      </c>
      <c r="D572">
        <v>18.595480105294101</v>
      </c>
      <c r="E572">
        <v>371</v>
      </c>
      <c r="F572">
        <v>1.6132952647702301</v>
      </c>
      <c r="G572">
        <v>8.0862533692722405</v>
      </c>
      <c r="H572" t="s">
        <v>67</v>
      </c>
      <c r="I572" t="s">
        <v>92</v>
      </c>
      <c r="J572" t="s">
        <v>93</v>
      </c>
      <c r="K572">
        <v>8</v>
      </c>
      <c r="L572">
        <v>1.1034953731280299</v>
      </c>
    </row>
    <row r="573" spans="1:12">
      <c r="A573" t="str">
        <f t="shared" si="8"/>
        <v>L106H20</v>
      </c>
      <c r="B573">
        <v>20</v>
      </c>
      <c r="C573">
        <v>249</v>
      </c>
      <c r="D573">
        <v>292.64571713261302</v>
      </c>
      <c r="E573">
        <v>8401</v>
      </c>
      <c r="F573">
        <v>0.850858172262829</v>
      </c>
      <c r="G573">
        <v>2.9639328651350998</v>
      </c>
      <c r="H573" t="s">
        <v>67</v>
      </c>
      <c r="I573" t="s">
        <v>94</v>
      </c>
      <c r="J573" t="s">
        <v>95</v>
      </c>
      <c r="K573">
        <v>8</v>
      </c>
      <c r="L573">
        <v>0.87755959579381204</v>
      </c>
    </row>
    <row r="574" spans="1:12">
      <c r="A574" t="str">
        <f t="shared" si="8"/>
        <v>L302H20</v>
      </c>
      <c r="B574">
        <v>20</v>
      </c>
      <c r="C574">
        <v>232</v>
      </c>
      <c r="D574">
        <v>271.96584989039701</v>
      </c>
      <c r="E574">
        <v>7734</v>
      </c>
      <c r="F574">
        <v>0.85304827828014695</v>
      </c>
      <c r="G574">
        <v>2.9997414016033099</v>
      </c>
      <c r="H574" t="s">
        <v>67</v>
      </c>
      <c r="I574" t="s">
        <v>96</v>
      </c>
      <c r="J574" t="s">
        <v>97</v>
      </c>
      <c r="K574">
        <v>8</v>
      </c>
      <c r="L574">
        <v>0.86076551530508505</v>
      </c>
    </row>
    <row r="575" spans="1:12">
      <c r="A575" t="str">
        <f t="shared" si="8"/>
        <v>L308H20</v>
      </c>
      <c r="B575">
        <v>20</v>
      </c>
      <c r="C575">
        <v>254</v>
      </c>
      <c r="D575">
        <v>280.54972076788499</v>
      </c>
      <c r="E575">
        <v>10228</v>
      </c>
      <c r="F575">
        <v>0.90536536377503296</v>
      </c>
      <c r="G575">
        <v>2.4833789597184199</v>
      </c>
      <c r="H575" t="s">
        <v>67</v>
      </c>
      <c r="I575" t="s">
        <v>98</v>
      </c>
      <c r="J575" t="s">
        <v>99</v>
      </c>
      <c r="K575">
        <v>8</v>
      </c>
      <c r="L575">
        <v>0.93046918255519695</v>
      </c>
    </row>
    <row r="576" spans="1:12">
      <c r="A576" t="str">
        <f t="shared" ref="A576:A639" si="9">CONCATENATE(I576, B576)</f>
        <v>N101H20</v>
      </c>
      <c r="B576">
        <v>20</v>
      </c>
      <c r="C576">
        <v>403</v>
      </c>
      <c r="D576">
        <v>460.95530644278398</v>
      </c>
      <c r="E576">
        <v>14878</v>
      </c>
      <c r="F576">
        <v>0.87427131083482201</v>
      </c>
      <c r="G576">
        <v>2.70869740556526</v>
      </c>
      <c r="H576" t="s">
        <v>67</v>
      </c>
      <c r="I576" t="s">
        <v>100</v>
      </c>
      <c r="J576" t="s">
        <v>101</v>
      </c>
      <c r="K576">
        <v>8</v>
      </c>
      <c r="L576">
        <v>0.901209822191267</v>
      </c>
    </row>
    <row r="577" spans="1:12">
      <c r="A577" t="str">
        <f t="shared" si="9"/>
        <v>N411H20</v>
      </c>
      <c r="B577">
        <v>20</v>
      </c>
      <c r="C577">
        <v>90</v>
      </c>
      <c r="D577">
        <v>67.183407259997296</v>
      </c>
      <c r="E577">
        <v>2889</v>
      </c>
      <c r="F577">
        <v>1.3396164867272</v>
      </c>
      <c r="G577">
        <v>3.1152647975077898</v>
      </c>
      <c r="H577" t="s">
        <v>67</v>
      </c>
      <c r="I577" t="s">
        <v>102</v>
      </c>
      <c r="J577" t="s">
        <v>103</v>
      </c>
      <c r="K577">
        <v>8</v>
      </c>
      <c r="L577">
        <v>1.0492098538772501</v>
      </c>
    </row>
    <row r="578" spans="1:12">
      <c r="A578" t="str">
        <f t="shared" si="9"/>
        <v>R101H20</v>
      </c>
      <c r="B578">
        <v>20</v>
      </c>
      <c r="C578">
        <v>31</v>
      </c>
      <c r="D578">
        <v>28.907206243623399</v>
      </c>
      <c r="E578">
        <v>782</v>
      </c>
      <c r="F578">
        <v>1.07239695661833</v>
      </c>
      <c r="G578">
        <v>3.9641943734015301</v>
      </c>
      <c r="H578" t="s">
        <v>67</v>
      </c>
      <c r="I578" t="s">
        <v>104</v>
      </c>
      <c r="J578" t="s">
        <v>105</v>
      </c>
      <c r="K578">
        <v>8</v>
      </c>
      <c r="L578">
        <v>1.0596543076603</v>
      </c>
    </row>
    <row r="579" spans="1:12">
      <c r="A579" t="str">
        <f t="shared" si="9"/>
        <v>S116H20</v>
      </c>
      <c r="B579">
        <v>20</v>
      </c>
      <c r="C579">
        <v>231</v>
      </c>
      <c r="D579">
        <v>321.52490423275498</v>
      </c>
      <c r="E579">
        <v>7159</v>
      </c>
      <c r="F579">
        <v>0.71845134532028998</v>
      </c>
      <c r="G579">
        <v>3.2267076407319499</v>
      </c>
      <c r="H579" t="s">
        <v>67</v>
      </c>
      <c r="I579" t="s">
        <v>106</v>
      </c>
      <c r="J579" t="s">
        <v>107</v>
      </c>
      <c r="K579">
        <v>8</v>
      </c>
      <c r="L579">
        <v>0.72238469122238103</v>
      </c>
    </row>
    <row r="580" spans="1:12">
      <c r="A580" t="str">
        <f t="shared" si="9"/>
        <v>S308H20</v>
      </c>
      <c r="B580">
        <v>20</v>
      </c>
      <c r="C580">
        <v>162</v>
      </c>
      <c r="D580">
        <v>194.06061173260201</v>
      </c>
      <c r="E580">
        <v>7660</v>
      </c>
      <c r="F580">
        <v>0.83479073137840898</v>
      </c>
      <c r="G580">
        <v>2.1148825065274099</v>
      </c>
      <c r="H580" t="s">
        <v>67</v>
      </c>
      <c r="I580" t="s">
        <v>108</v>
      </c>
      <c r="J580" t="s">
        <v>109</v>
      </c>
      <c r="K580">
        <v>8</v>
      </c>
      <c r="L580">
        <v>0.81183325003888396</v>
      </c>
    </row>
    <row r="581" spans="1:12">
      <c r="A581" t="str">
        <f t="shared" si="9"/>
        <v>S314H20</v>
      </c>
      <c r="B581">
        <v>20</v>
      </c>
      <c r="C581">
        <v>398</v>
      </c>
      <c r="D581">
        <v>440.258672107324</v>
      </c>
      <c r="E581">
        <v>11637</v>
      </c>
      <c r="F581">
        <v>0.90401399271694005</v>
      </c>
      <c r="G581">
        <v>3.4201254618888002</v>
      </c>
      <c r="H581" t="s">
        <v>67</v>
      </c>
      <c r="I581" t="s">
        <v>110</v>
      </c>
      <c r="J581" t="s">
        <v>111</v>
      </c>
      <c r="K581">
        <v>8</v>
      </c>
      <c r="L581">
        <v>0.85407175912129196</v>
      </c>
    </row>
    <row r="582" spans="1:12">
      <c r="A582" t="str">
        <f t="shared" si="9"/>
        <v>T101H20</v>
      </c>
      <c r="B582">
        <v>20</v>
      </c>
      <c r="C582">
        <v>428</v>
      </c>
      <c r="D582">
        <v>465.79284374416602</v>
      </c>
      <c r="E582">
        <v>12002</v>
      </c>
      <c r="F582">
        <v>0.91886340837618496</v>
      </c>
      <c r="G582">
        <v>3.56607232127979</v>
      </c>
      <c r="H582" t="s">
        <v>67</v>
      </c>
      <c r="I582" t="s">
        <v>112</v>
      </c>
      <c r="J582" t="s">
        <v>113</v>
      </c>
      <c r="K582">
        <v>8</v>
      </c>
      <c r="L582">
        <v>0.87546681495428302</v>
      </c>
    </row>
    <row r="583" spans="1:12">
      <c r="A583" t="str">
        <f t="shared" si="9"/>
        <v>T202H20</v>
      </c>
      <c r="B583">
        <v>20</v>
      </c>
      <c r="C583">
        <v>132</v>
      </c>
      <c r="D583">
        <v>148.45465501378101</v>
      </c>
      <c r="E583">
        <v>3139</v>
      </c>
      <c r="F583">
        <v>0.88916039707711603</v>
      </c>
      <c r="G583">
        <v>4.2051608792609096</v>
      </c>
      <c r="H583" t="s">
        <v>67</v>
      </c>
      <c r="I583" t="s">
        <v>114</v>
      </c>
      <c r="J583" t="s">
        <v>115</v>
      </c>
      <c r="K583">
        <v>8</v>
      </c>
      <c r="L583">
        <v>0.89571281870618902</v>
      </c>
    </row>
    <row r="584" spans="1:12">
      <c r="A584" t="str">
        <f t="shared" si="9"/>
        <v>T312H20</v>
      </c>
      <c r="B584">
        <v>20</v>
      </c>
      <c r="C584">
        <v>2</v>
      </c>
      <c r="D584">
        <v>2.4261806661368701</v>
      </c>
      <c r="E584">
        <v>1130</v>
      </c>
      <c r="F584">
        <v>0.824340919006884</v>
      </c>
      <c r="G584">
        <v>0.17699115044247801</v>
      </c>
      <c r="H584" t="s">
        <v>67</v>
      </c>
      <c r="I584" t="s">
        <v>116</v>
      </c>
      <c r="J584" t="s">
        <v>117</v>
      </c>
      <c r="K584">
        <v>8</v>
      </c>
      <c r="L584">
        <v>0.69391321858279797</v>
      </c>
    </row>
    <row r="585" spans="1:12">
      <c r="A585" t="str">
        <f t="shared" si="9"/>
        <v>V217H20</v>
      </c>
      <c r="B585">
        <v>20</v>
      </c>
      <c r="C585">
        <v>307</v>
      </c>
      <c r="D585">
        <v>318.84239195483599</v>
      </c>
      <c r="E585">
        <v>8371</v>
      </c>
      <c r="F585">
        <v>0.96285816361422505</v>
      </c>
      <c r="G585">
        <v>3.6674232469238999</v>
      </c>
      <c r="H585" t="s">
        <v>67</v>
      </c>
      <c r="I585" t="s">
        <v>118</v>
      </c>
      <c r="J585" t="s">
        <v>119</v>
      </c>
      <c r="K585">
        <v>8</v>
      </c>
      <c r="L585">
        <v>0.97516391309392503</v>
      </c>
    </row>
    <row r="586" spans="1:12">
      <c r="A586" t="str">
        <f t="shared" si="9"/>
        <v>W107H20</v>
      </c>
      <c r="B586">
        <v>20</v>
      </c>
      <c r="C586">
        <v>26</v>
      </c>
      <c r="D586">
        <v>26.730278200195201</v>
      </c>
      <c r="E586">
        <v>1012</v>
      </c>
      <c r="F586">
        <v>0.97267973813344399</v>
      </c>
      <c r="G586">
        <v>2.5691699604743099</v>
      </c>
      <c r="H586" t="s">
        <v>67</v>
      </c>
      <c r="I586" t="s">
        <v>120</v>
      </c>
      <c r="J586" t="s">
        <v>121</v>
      </c>
      <c r="K586">
        <v>8</v>
      </c>
      <c r="L586">
        <v>1.0809408570529599</v>
      </c>
    </row>
    <row r="587" spans="1:12">
      <c r="A587" t="str">
        <f t="shared" si="9"/>
        <v>Z102H20</v>
      </c>
      <c r="B587">
        <v>20</v>
      </c>
      <c r="C587">
        <v>21</v>
      </c>
      <c r="D587">
        <v>19.221079537276701</v>
      </c>
      <c r="E587">
        <v>895</v>
      </c>
      <c r="F587">
        <v>1.0925504969308999</v>
      </c>
      <c r="G587">
        <v>2.3463687150838002</v>
      </c>
      <c r="H587" t="s">
        <v>67</v>
      </c>
      <c r="I587" t="s">
        <v>122</v>
      </c>
      <c r="J587" t="s">
        <v>123</v>
      </c>
      <c r="K587">
        <v>8</v>
      </c>
      <c r="L587">
        <v>1.0257507887411399</v>
      </c>
    </row>
    <row r="588" spans="1:12">
      <c r="A588" t="str">
        <f t="shared" si="9"/>
        <v>A111H21</v>
      </c>
      <c r="B588">
        <v>21</v>
      </c>
      <c r="C588">
        <v>326</v>
      </c>
      <c r="D588">
        <v>355.69556483136301</v>
      </c>
      <c r="E588">
        <v>10034</v>
      </c>
      <c r="F588">
        <v>0.91651409866344002</v>
      </c>
      <c r="G588">
        <v>3.2489535579031301</v>
      </c>
      <c r="H588" t="s">
        <v>67</v>
      </c>
      <c r="I588" t="s">
        <v>68</v>
      </c>
      <c r="J588" t="s">
        <v>69</v>
      </c>
      <c r="K588">
        <v>9</v>
      </c>
      <c r="L588">
        <v>0.83229467820761405</v>
      </c>
    </row>
    <row r="589" spans="1:12">
      <c r="A589" t="str">
        <f t="shared" si="9"/>
        <v>A210H21</v>
      </c>
      <c r="B589">
        <v>21</v>
      </c>
      <c r="C589">
        <v>199</v>
      </c>
      <c r="D589">
        <v>233.237513392805</v>
      </c>
      <c r="E589">
        <v>6570</v>
      </c>
      <c r="F589">
        <v>0.85320751840144904</v>
      </c>
      <c r="G589">
        <v>3.0289193302891899</v>
      </c>
      <c r="H589" t="s">
        <v>67</v>
      </c>
      <c r="I589" t="s">
        <v>70</v>
      </c>
      <c r="J589" t="s">
        <v>71</v>
      </c>
      <c r="K589">
        <v>9</v>
      </c>
      <c r="L589">
        <v>0.89135260014686801</v>
      </c>
    </row>
    <row r="590" spans="1:12">
      <c r="A590" t="str">
        <f t="shared" si="9"/>
        <v>B120H21</v>
      </c>
      <c r="B590">
        <v>21</v>
      </c>
      <c r="C590">
        <v>152</v>
      </c>
      <c r="D590">
        <v>163.66284561065399</v>
      </c>
      <c r="E590">
        <v>4564</v>
      </c>
      <c r="F590">
        <v>0.92873858714152402</v>
      </c>
      <c r="G590">
        <v>3.3304119193689701</v>
      </c>
      <c r="H590" t="s">
        <v>67</v>
      </c>
      <c r="I590" t="s">
        <v>72</v>
      </c>
      <c r="J590" t="s">
        <v>73</v>
      </c>
      <c r="K590">
        <v>9</v>
      </c>
      <c r="L590">
        <v>0.936624341566899</v>
      </c>
    </row>
    <row r="591" spans="1:12">
      <c r="A591" t="str">
        <f t="shared" si="9"/>
        <v>C121H21</v>
      </c>
      <c r="B591">
        <v>21</v>
      </c>
      <c r="C591">
        <v>21</v>
      </c>
      <c r="D591">
        <v>21.306890221987</v>
      </c>
      <c r="E591">
        <v>841</v>
      </c>
      <c r="F591">
        <v>0.98559666761363995</v>
      </c>
      <c r="G591">
        <v>2.49702734839477</v>
      </c>
      <c r="H591" t="s">
        <v>67</v>
      </c>
      <c r="I591" t="s">
        <v>74</v>
      </c>
      <c r="J591" t="s">
        <v>75</v>
      </c>
      <c r="K591">
        <v>9</v>
      </c>
      <c r="L591">
        <v>1.0660799999346999</v>
      </c>
    </row>
    <row r="592" spans="1:12">
      <c r="A592" t="str">
        <f t="shared" si="9"/>
        <v>C313H21</v>
      </c>
      <c r="B592">
        <v>21</v>
      </c>
      <c r="C592">
        <v>153</v>
      </c>
      <c r="D592">
        <v>146.81788289935699</v>
      </c>
      <c r="E592">
        <v>4876</v>
      </c>
      <c r="F592">
        <v>1.0421073848672799</v>
      </c>
      <c r="G592">
        <v>3.1378178835110702</v>
      </c>
      <c r="H592" t="s">
        <v>67</v>
      </c>
      <c r="I592" t="s">
        <v>76</v>
      </c>
      <c r="J592" t="s">
        <v>77</v>
      </c>
      <c r="K592">
        <v>9</v>
      </c>
      <c r="L592">
        <v>1.00244306441965</v>
      </c>
    </row>
    <row r="593" spans="1:12">
      <c r="A593" t="str">
        <f t="shared" si="9"/>
        <v>C418H21</v>
      </c>
      <c r="B593">
        <v>21</v>
      </c>
      <c r="C593">
        <v>347</v>
      </c>
      <c r="D593">
        <v>314.01979818775499</v>
      </c>
      <c r="E593">
        <v>10202</v>
      </c>
      <c r="F593">
        <v>1.1050258678038101</v>
      </c>
      <c r="G593">
        <v>3.4012938639482502</v>
      </c>
      <c r="H593" t="s">
        <v>67</v>
      </c>
      <c r="I593" t="s">
        <v>78</v>
      </c>
      <c r="J593" t="s">
        <v>79</v>
      </c>
      <c r="K593">
        <v>9</v>
      </c>
      <c r="L593">
        <v>1.0390280376666301</v>
      </c>
    </row>
    <row r="594" spans="1:12">
      <c r="A594" t="str">
        <f t="shared" si="9"/>
        <v>D102H21</v>
      </c>
      <c r="B594">
        <v>21</v>
      </c>
      <c r="C594">
        <v>24</v>
      </c>
      <c r="D594">
        <v>29.7596149459124</v>
      </c>
      <c r="E594">
        <v>4815</v>
      </c>
      <c r="F594">
        <v>0.80646204742969996</v>
      </c>
      <c r="G594">
        <v>0.49844236760124599</v>
      </c>
      <c r="H594" t="s">
        <v>67</v>
      </c>
      <c r="I594" t="s">
        <v>80</v>
      </c>
      <c r="J594" t="s">
        <v>81</v>
      </c>
      <c r="K594">
        <v>9</v>
      </c>
      <c r="L594">
        <v>0.90286719466329901</v>
      </c>
    </row>
    <row r="595" spans="1:12">
      <c r="A595" t="str">
        <f t="shared" si="9"/>
        <v>F704H21</v>
      </c>
      <c r="B595">
        <v>21</v>
      </c>
      <c r="C595">
        <v>430</v>
      </c>
      <c r="D595">
        <v>451.12427537347901</v>
      </c>
      <c r="E595">
        <v>8845</v>
      </c>
      <c r="F595">
        <v>0.95317415504632097</v>
      </c>
      <c r="G595">
        <v>4.8615036743923099</v>
      </c>
      <c r="H595" t="s">
        <v>67</v>
      </c>
      <c r="I595" t="s">
        <v>82</v>
      </c>
      <c r="J595" t="s">
        <v>83</v>
      </c>
      <c r="K595">
        <v>9</v>
      </c>
      <c r="L595">
        <v>0.90108848217816295</v>
      </c>
    </row>
    <row r="596" spans="1:12">
      <c r="A596" t="str">
        <f t="shared" si="9"/>
        <v>G107H21</v>
      </c>
      <c r="B596">
        <v>21</v>
      </c>
      <c r="C596">
        <v>452</v>
      </c>
      <c r="D596">
        <v>477.213205513351</v>
      </c>
      <c r="E596">
        <v>14058</v>
      </c>
      <c r="F596">
        <v>0.94716574222578598</v>
      </c>
      <c r="G596">
        <v>3.2152511025750501</v>
      </c>
      <c r="H596" t="s">
        <v>67</v>
      </c>
      <c r="I596" t="s">
        <v>84</v>
      </c>
      <c r="J596" t="s">
        <v>85</v>
      </c>
      <c r="K596">
        <v>9</v>
      </c>
      <c r="L596">
        <v>0.92100598708453096</v>
      </c>
    </row>
    <row r="597" spans="1:12">
      <c r="A597" t="str">
        <f t="shared" si="9"/>
        <v>G405H21</v>
      </c>
      <c r="B597">
        <v>21</v>
      </c>
      <c r="C597">
        <v>668</v>
      </c>
      <c r="D597">
        <v>735.18638986326903</v>
      </c>
      <c r="E597">
        <v>17278</v>
      </c>
      <c r="F597">
        <v>0.90861312071383105</v>
      </c>
      <c r="G597">
        <v>3.8661882162287302</v>
      </c>
      <c r="H597" t="s">
        <v>67</v>
      </c>
      <c r="I597" t="s">
        <v>86</v>
      </c>
      <c r="J597" t="s">
        <v>87</v>
      </c>
      <c r="K597">
        <v>9</v>
      </c>
      <c r="L597">
        <v>0.89597106793575099</v>
      </c>
    </row>
    <row r="598" spans="1:12">
      <c r="A598" t="str">
        <f t="shared" si="9"/>
        <v>H103H21</v>
      </c>
      <c r="B598">
        <v>21</v>
      </c>
      <c r="C598">
        <v>40</v>
      </c>
      <c r="D598">
        <v>40.833512995036699</v>
      </c>
      <c r="E598">
        <v>829</v>
      </c>
      <c r="F598">
        <v>0.97958752666864501</v>
      </c>
      <c r="G598">
        <v>4.8250904704463196</v>
      </c>
      <c r="H598" t="s">
        <v>67</v>
      </c>
      <c r="I598" t="s">
        <v>88</v>
      </c>
      <c r="J598" t="s">
        <v>89</v>
      </c>
      <c r="K598">
        <v>9</v>
      </c>
      <c r="L598">
        <v>0.93697366264295401</v>
      </c>
    </row>
    <row r="599" spans="1:12">
      <c r="A599" t="str">
        <f t="shared" si="9"/>
        <v>H202H21</v>
      </c>
      <c r="B599">
        <v>21</v>
      </c>
      <c r="C599">
        <v>215</v>
      </c>
      <c r="D599">
        <v>233.436830436669</v>
      </c>
      <c r="E599">
        <v>7561</v>
      </c>
      <c r="F599">
        <v>0.92102004468540299</v>
      </c>
      <c r="G599">
        <v>2.8435392143896299</v>
      </c>
      <c r="H599" t="s">
        <v>67</v>
      </c>
      <c r="I599" t="s">
        <v>90</v>
      </c>
      <c r="J599" t="s">
        <v>91</v>
      </c>
      <c r="K599">
        <v>9</v>
      </c>
      <c r="L599">
        <v>0.82006550854340898</v>
      </c>
    </row>
    <row r="600" spans="1:12">
      <c r="A600" t="str">
        <f t="shared" si="9"/>
        <v>H212H21</v>
      </c>
      <c r="B600">
        <v>21</v>
      </c>
      <c r="C600">
        <v>31</v>
      </c>
      <c r="D600">
        <v>19.2370575004927</v>
      </c>
      <c r="E600">
        <v>392</v>
      </c>
      <c r="F600">
        <v>1.6114730643813899</v>
      </c>
      <c r="G600">
        <v>7.9081632653061202</v>
      </c>
      <c r="H600" t="s">
        <v>67</v>
      </c>
      <c r="I600" t="s">
        <v>92</v>
      </c>
      <c r="J600" t="s">
        <v>93</v>
      </c>
      <c r="K600">
        <v>9</v>
      </c>
      <c r="L600">
        <v>1.10440768651905</v>
      </c>
    </row>
    <row r="601" spans="1:12">
      <c r="A601" t="str">
        <f t="shared" si="9"/>
        <v>L106H21</v>
      </c>
      <c r="B601">
        <v>21</v>
      </c>
      <c r="C601">
        <v>298</v>
      </c>
      <c r="D601">
        <v>311.85866766163502</v>
      </c>
      <c r="E601">
        <v>8372</v>
      </c>
      <c r="F601">
        <v>0.95556106307530497</v>
      </c>
      <c r="G601">
        <v>3.5594839942665999</v>
      </c>
      <c r="H601" t="s">
        <v>67</v>
      </c>
      <c r="I601" t="s">
        <v>94</v>
      </c>
      <c r="J601" t="s">
        <v>95</v>
      </c>
      <c r="K601">
        <v>9</v>
      </c>
      <c r="L601">
        <v>0.86785787459364605</v>
      </c>
    </row>
    <row r="602" spans="1:12">
      <c r="A602" t="str">
        <f t="shared" si="9"/>
        <v>L302H21</v>
      </c>
      <c r="B602">
        <v>21</v>
      </c>
      <c r="C602">
        <v>248</v>
      </c>
      <c r="D602">
        <v>290.82015531820599</v>
      </c>
      <c r="E602">
        <v>7657</v>
      </c>
      <c r="F602">
        <v>0.85276070267085402</v>
      </c>
      <c r="G602">
        <v>3.23886639676113</v>
      </c>
      <c r="H602" t="s">
        <v>67</v>
      </c>
      <c r="I602" t="s">
        <v>96</v>
      </c>
      <c r="J602" t="s">
        <v>97</v>
      </c>
      <c r="K602">
        <v>9</v>
      </c>
      <c r="L602">
        <v>0.85176681179451896</v>
      </c>
    </row>
    <row r="603" spans="1:12">
      <c r="A603" t="str">
        <f t="shared" si="9"/>
        <v>L308H21</v>
      </c>
      <c r="B603">
        <v>21</v>
      </c>
      <c r="C603">
        <v>309</v>
      </c>
      <c r="D603">
        <v>312.28031431078102</v>
      </c>
      <c r="E603">
        <v>10354</v>
      </c>
      <c r="F603">
        <v>0.98949560967997496</v>
      </c>
      <c r="G603">
        <v>2.9843538728993599</v>
      </c>
      <c r="H603" t="s">
        <v>67</v>
      </c>
      <c r="I603" t="s">
        <v>98</v>
      </c>
      <c r="J603" t="s">
        <v>99</v>
      </c>
      <c r="K603">
        <v>9</v>
      </c>
      <c r="L603">
        <v>0.91141868939285697</v>
      </c>
    </row>
    <row r="604" spans="1:12">
      <c r="A604" t="str">
        <f t="shared" si="9"/>
        <v>N101H21</v>
      </c>
      <c r="B604">
        <v>21</v>
      </c>
      <c r="C604">
        <v>454</v>
      </c>
      <c r="D604">
        <v>489.60993665493402</v>
      </c>
      <c r="E604">
        <v>14375</v>
      </c>
      <c r="F604">
        <v>0.92726876235759204</v>
      </c>
      <c r="G604">
        <v>3.1582608695652201</v>
      </c>
      <c r="H604" t="s">
        <v>67</v>
      </c>
      <c r="I604" t="s">
        <v>100</v>
      </c>
      <c r="J604" t="s">
        <v>101</v>
      </c>
      <c r="K604">
        <v>9</v>
      </c>
      <c r="L604">
        <v>0.90003624267810001</v>
      </c>
    </row>
    <row r="605" spans="1:12">
      <c r="A605" t="str">
        <f t="shared" si="9"/>
        <v>N411H21</v>
      </c>
      <c r="B605">
        <v>21</v>
      </c>
      <c r="C605">
        <v>91</v>
      </c>
      <c r="D605">
        <v>81.475854427742505</v>
      </c>
      <c r="E605">
        <v>2941</v>
      </c>
      <c r="F605">
        <v>1.11689531382213</v>
      </c>
      <c r="G605">
        <v>3.0941856511390702</v>
      </c>
      <c r="H605" t="s">
        <v>67</v>
      </c>
      <c r="I605" t="s">
        <v>102</v>
      </c>
      <c r="J605" t="s">
        <v>103</v>
      </c>
      <c r="K605">
        <v>9</v>
      </c>
      <c r="L605">
        <v>1.04742542339</v>
      </c>
    </row>
    <row r="606" spans="1:12">
      <c r="A606" t="str">
        <f t="shared" si="9"/>
        <v>R101H21</v>
      </c>
      <c r="B606">
        <v>21</v>
      </c>
      <c r="C606">
        <v>28</v>
      </c>
      <c r="D606">
        <v>27.3963809451575</v>
      </c>
      <c r="E606">
        <v>789</v>
      </c>
      <c r="F606">
        <v>1.02203280265561</v>
      </c>
      <c r="G606">
        <v>3.54879594423321</v>
      </c>
      <c r="H606" t="s">
        <v>67</v>
      </c>
      <c r="I606" t="s">
        <v>104</v>
      </c>
      <c r="J606" t="s">
        <v>105</v>
      </c>
      <c r="K606">
        <v>9</v>
      </c>
      <c r="L606">
        <v>1.0380546836603299</v>
      </c>
    </row>
    <row r="607" spans="1:12">
      <c r="A607" t="str">
        <f t="shared" si="9"/>
        <v>S116H21</v>
      </c>
      <c r="B607">
        <v>21</v>
      </c>
      <c r="C607">
        <v>250</v>
      </c>
      <c r="D607">
        <v>347.47693204775499</v>
      </c>
      <c r="E607">
        <v>7169</v>
      </c>
      <c r="F607">
        <v>0.71947222086570595</v>
      </c>
      <c r="G607">
        <v>3.4872367136281199</v>
      </c>
      <c r="H607" t="s">
        <v>67</v>
      </c>
      <c r="I607" t="s">
        <v>106</v>
      </c>
      <c r="J607" t="s">
        <v>107</v>
      </c>
      <c r="K607">
        <v>9</v>
      </c>
      <c r="L607">
        <v>0.717598450095569</v>
      </c>
    </row>
    <row r="608" spans="1:12">
      <c r="A608" t="str">
        <f t="shared" si="9"/>
        <v>S308H21</v>
      </c>
      <c r="B608">
        <v>21</v>
      </c>
      <c r="C608">
        <v>160</v>
      </c>
      <c r="D608">
        <v>192.48410592425699</v>
      </c>
      <c r="E608">
        <v>7448</v>
      </c>
      <c r="F608">
        <v>0.83123746364263695</v>
      </c>
      <c r="G608">
        <v>2.1482277121374902</v>
      </c>
      <c r="H608" t="s">
        <v>67</v>
      </c>
      <c r="I608" t="s">
        <v>108</v>
      </c>
      <c r="J608" t="s">
        <v>109</v>
      </c>
      <c r="K608">
        <v>9</v>
      </c>
      <c r="L608">
        <v>0.805829666116052</v>
      </c>
    </row>
    <row r="609" spans="1:12">
      <c r="A609" t="str">
        <f t="shared" si="9"/>
        <v>S314H21</v>
      </c>
      <c r="B609">
        <v>21</v>
      </c>
      <c r="C609">
        <v>429</v>
      </c>
      <c r="D609">
        <v>486.262824636076</v>
      </c>
      <c r="E609">
        <v>11385</v>
      </c>
      <c r="F609">
        <v>0.88223894212161402</v>
      </c>
      <c r="G609">
        <v>3.7681159420289898</v>
      </c>
      <c r="H609" t="s">
        <v>67</v>
      </c>
      <c r="I609" t="s">
        <v>110</v>
      </c>
      <c r="J609" t="s">
        <v>111</v>
      </c>
      <c r="K609">
        <v>9</v>
      </c>
      <c r="L609">
        <v>0.85321836817174701</v>
      </c>
    </row>
    <row r="610" spans="1:12">
      <c r="A610" t="str">
        <f t="shared" si="9"/>
        <v>T101H21</v>
      </c>
      <c r="B610">
        <v>21</v>
      </c>
      <c r="C610">
        <v>400</v>
      </c>
      <c r="D610">
        <v>464.000215090913</v>
      </c>
      <c r="E610">
        <v>12420</v>
      </c>
      <c r="F610">
        <v>0.86206856589845904</v>
      </c>
      <c r="G610">
        <v>3.2206119162640898</v>
      </c>
      <c r="H610" t="s">
        <v>67</v>
      </c>
      <c r="I610" t="s">
        <v>112</v>
      </c>
      <c r="J610" t="s">
        <v>113</v>
      </c>
      <c r="K610">
        <v>9</v>
      </c>
      <c r="L610">
        <v>0.87028547475177698</v>
      </c>
    </row>
    <row r="611" spans="1:12">
      <c r="A611" t="str">
        <f t="shared" si="9"/>
        <v>T202H21</v>
      </c>
      <c r="B611">
        <v>21</v>
      </c>
      <c r="C611">
        <v>146</v>
      </c>
      <c r="D611">
        <v>151.31655802071401</v>
      </c>
      <c r="E611">
        <v>3196</v>
      </c>
      <c r="F611">
        <v>0.96486466457962505</v>
      </c>
      <c r="G611">
        <v>4.5682102628285399</v>
      </c>
      <c r="H611" t="s">
        <v>67</v>
      </c>
      <c r="I611" t="s">
        <v>114</v>
      </c>
      <c r="J611" t="s">
        <v>115</v>
      </c>
      <c r="K611">
        <v>9</v>
      </c>
      <c r="L611">
        <v>0.89612173878480905</v>
      </c>
    </row>
    <row r="612" spans="1:12">
      <c r="A612" t="str">
        <f t="shared" si="9"/>
        <v>T312H21</v>
      </c>
      <c r="B612">
        <v>21</v>
      </c>
      <c r="C612">
        <v>2</v>
      </c>
      <c r="D612">
        <v>1.89955178263461</v>
      </c>
      <c r="E612">
        <v>1258</v>
      </c>
      <c r="F612">
        <v>1.0528799574108301</v>
      </c>
      <c r="G612">
        <v>0.15898251192368801</v>
      </c>
      <c r="H612" t="s">
        <v>67</v>
      </c>
      <c r="I612" t="s">
        <v>116</v>
      </c>
      <c r="J612" t="s">
        <v>117</v>
      </c>
      <c r="K612">
        <v>9</v>
      </c>
      <c r="L612">
        <v>0.70212832800701597</v>
      </c>
    </row>
    <row r="613" spans="1:12">
      <c r="A613" t="str">
        <f t="shared" si="9"/>
        <v>V217H21</v>
      </c>
      <c r="B613">
        <v>21</v>
      </c>
      <c r="C613">
        <v>357</v>
      </c>
      <c r="D613">
        <v>338.16387018420602</v>
      </c>
      <c r="E613">
        <v>8469</v>
      </c>
      <c r="F613">
        <v>1.0557011895018</v>
      </c>
      <c r="G613">
        <v>4.2153737159050699</v>
      </c>
      <c r="H613" t="s">
        <v>67</v>
      </c>
      <c r="I613" t="s">
        <v>118</v>
      </c>
      <c r="J613" t="s">
        <v>119</v>
      </c>
      <c r="K613">
        <v>9</v>
      </c>
      <c r="L613">
        <v>0.97539811841831003</v>
      </c>
    </row>
    <row r="614" spans="1:12">
      <c r="A614" t="str">
        <f t="shared" si="9"/>
        <v>W107H21</v>
      </c>
      <c r="B614">
        <v>21</v>
      </c>
      <c r="C614">
        <v>21</v>
      </c>
      <c r="D614">
        <v>23.3755579563684</v>
      </c>
      <c r="E614">
        <v>1068</v>
      </c>
      <c r="F614">
        <v>0.89837427791873503</v>
      </c>
      <c r="G614">
        <v>1.9662921348314599</v>
      </c>
      <c r="H614" t="s">
        <v>67</v>
      </c>
      <c r="I614" t="s">
        <v>120</v>
      </c>
      <c r="J614" t="s">
        <v>121</v>
      </c>
      <c r="K614">
        <v>9</v>
      </c>
      <c r="L614">
        <v>1.06287886424168</v>
      </c>
    </row>
    <row r="615" spans="1:12">
      <c r="A615" t="str">
        <f t="shared" si="9"/>
        <v>Z102H21</v>
      </c>
      <c r="B615">
        <v>21</v>
      </c>
      <c r="C615">
        <v>23</v>
      </c>
      <c r="D615">
        <v>22.287019248080298</v>
      </c>
      <c r="E615">
        <v>880</v>
      </c>
      <c r="F615">
        <v>1.0319908527911901</v>
      </c>
      <c r="G615">
        <v>2.6136363636363602</v>
      </c>
      <c r="H615" t="s">
        <v>67</v>
      </c>
      <c r="I615" t="s">
        <v>122</v>
      </c>
      <c r="J615" t="s">
        <v>123</v>
      </c>
      <c r="K615">
        <v>9</v>
      </c>
      <c r="L615">
        <v>1.0260637146268199</v>
      </c>
    </row>
    <row r="616" spans="1:12">
      <c r="A616" t="str">
        <f t="shared" si="9"/>
        <v>A111H22</v>
      </c>
      <c r="B616">
        <v>22</v>
      </c>
      <c r="C616">
        <v>240</v>
      </c>
      <c r="D616">
        <v>333.91119821524597</v>
      </c>
      <c r="E616">
        <v>9764</v>
      </c>
      <c r="F616">
        <v>0.71875397196260205</v>
      </c>
      <c r="G616">
        <v>2.4580090126997098</v>
      </c>
      <c r="H616" t="s">
        <v>67</v>
      </c>
      <c r="I616" t="s">
        <v>68</v>
      </c>
      <c r="J616" t="s">
        <v>69</v>
      </c>
      <c r="K616">
        <v>10</v>
      </c>
      <c r="L616">
        <v>0.82371110898889999</v>
      </c>
    </row>
    <row r="617" spans="1:12">
      <c r="A617" t="str">
        <f t="shared" si="9"/>
        <v>A210H22</v>
      </c>
      <c r="B617">
        <v>22</v>
      </c>
      <c r="C617">
        <v>181</v>
      </c>
      <c r="D617">
        <v>223.57747409574699</v>
      </c>
      <c r="E617">
        <v>6571</v>
      </c>
      <c r="F617">
        <v>0.80956277340572602</v>
      </c>
      <c r="G617">
        <v>2.7545274691827699</v>
      </c>
      <c r="H617" t="s">
        <v>67</v>
      </c>
      <c r="I617" t="s">
        <v>70</v>
      </c>
      <c r="J617" t="s">
        <v>71</v>
      </c>
      <c r="K617">
        <v>10</v>
      </c>
      <c r="L617">
        <v>0.88281180711255003</v>
      </c>
    </row>
    <row r="618" spans="1:12">
      <c r="A618" t="str">
        <f t="shared" si="9"/>
        <v>B120H22</v>
      </c>
      <c r="B618">
        <v>22</v>
      </c>
      <c r="C618">
        <v>152</v>
      </c>
      <c r="D618">
        <v>165.89904834280199</v>
      </c>
      <c r="E618">
        <v>4305</v>
      </c>
      <c r="F618">
        <v>0.91621984284031599</v>
      </c>
      <c r="G618">
        <v>3.5307781649245098</v>
      </c>
      <c r="H618" t="s">
        <v>67</v>
      </c>
      <c r="I618" t="s">
        <v>72</v>
      </c>
      <c r="J618" t="s">
        <v>73</v>
      </c>
      <c r="K618">
        <v>10</v>
      </c>
      <c r="L618">
        <v>0.93683644623277995</v>
      </c>
    </row>
    <row r="619" spans="1:12">
      <c r="A619" t="str">
        <f t="shared" si="9"/>
        <v>C121H22</v>
      </c>
      <c r="B619">
        <v>22</v>
      </c>
      <c r="C619">
        <v>25</v>
      </c>
      <c r="D619">
        <v>21.3464182245548</v>
      </c>
      <c r="E619">
        <v>587</v>
      </c>
      <c r="F619">
        <v>1.17115666605101</v>
      </c>
      <c r="G619">
        <v>4.2589437819420803</v>
      </c>
      <c r="H619" t="s">
        <v>67</v>
      </c>
      <c r="I619" t="s">
        <v>74</v>
      </c>
      <c r="J619" t="s">
        <v>75</v>
      </c>
      <c r="K619">
        <v>10</v>
      </c>
      <c r="L619">
        <v>1.0630367859583101</v>
      </c>
    </row>
    <row r="620" spans="1:12">
      <c r="A620" t="str">
        <f t="shared" si="9"/>
        <v>C313H22</v>
      </c>
      <c r="B620">
        <v>22</v>
      </c>
      <c r="C620">
        <v>140</v>
      </c>
      <c r="D620">
        <v>144.455182684204</v>
      </c>
      <c r="E620">
        <v>4618</v>
      </c>
      <c r="F620">
        <v>0.96915872036281703</v>
      </c>
      <c r="G620">
        <v>3.03161541792984</v>
      </c>
      <c r="H620" t="s">
        <v>67</v>
      </c>
      <c r="I620" t="s">
        <v>76</v>
      </c>
      <c r="J620" t="s">
        <v>77</v>
      </c>
      <c r="K620">
        <v>10</v>
      </c>
      <c r="L620">
        <v>0.98895713948767106</v>
      </c>
    </row>
    <row r="621" spans="1:12">
      <c r="A621" t="str">
        <f t="shared" si="9"/>
        <v>C418H22</v>
      </c>
      <c r="B621">
        <v>22</v>
      </c>
      <c r="C621">
        <v>279</v>
      </c>
      <c r="D621">
        <v>290.51069739164598</v>
      </c>
      <c r="E621">
        <v>9824</v>
      </c>
      <c r="F621">
        <v>0.96037771588105103</v>
      </c>
      <c r="G621">
        <v>2.8399837133550498</v>
      </c>
      <c r="H621" t="s">
        <v>67</v>
      </c>
      <c r="I621" t="s">
        <v>78</v>
      </c>
      <c r="J621" t="s">
        <v>79</v>
      </c>
      <c r="K621">
        <v>10</v>
      </c>
      <c r="L621">
        <v>1.0345861213865699</v>
      </c>
    </row>
    <row r="622" spans="1:12">
      <c r="A622" t="str">
        <f t="shared" si="9"/>
        <v>D102H22</v>
      </c>
      <c r="B622">
        <v>22</v>
      </c>
      <c r="C622">
        <v>22</v>
      </c>
      <c r="D622">
        <v>29.490425437863699</v>
      </c>
      <c r="E622">
        <v>5105</v>
      </c>
      <c r="F622">
        <v>0.746004836259618</v>
      </c>
      <c r="G622">
        <v>0.430950048971596</v>
      </c>
      <c r="H622" t="s">
        <v>67</v>
      </c>
      <c r="I622" t="s">
        <v>80</v>
      </c>
      <c r="J622" t="s">
        <v>81</v>
      </c>
      <c r="K622">
        <v>10</v>
      </c>
      <c r="L622">
        <v>0.91264724725505597</v>
      </c>
    </row>
    <row r="623" spans="1:12">
      <c r="A623" t="str">
        <f t="shared" si="9"/>
        <v>F704H22</v>
      </c>
      <c r="B623">
        <v>22</v>
      </c>
      <c r="C623">
        <v>342</v>
      </c>
      <c r="D623">
        <v>402.80616149196499</v>
      </c>
      <c r="E623">
        <v>8606</v>
      </c>
      <c r="F623">
        <v>0.84904361624771696</v>
      </c>
      <c r="G623">
        <v>3.9739716476876601</v>
      </c>
      <c r="H623" t="s">
        <v>67</v>
      </c>
      <c r="I623" t="s">
        <v>82</v>
      </c>
      <c r="J623" t="s">
        <v>83</v>
      </c>
      <c r="K623">
        <v>10</v>
      </c>
      <c r="L623">
        <v>0.90054454780008697</v>
      </c>
    </row>
    <row r="624" spans="1:12">
      <c r="A624" t="str">
        <f t="shared" si="9"/>
        <v>G107H22</v>
      </c>
      <c r="B624">
        <v>22</v>
      </c>
      <c r="C624">
        <v>348</v>
      </c>
      <c r="D624">
        <v>428.38601883325498</v>
      </c>
      <c r="E624">
        <v>13836</v>
      </c>
      <c r="F624">
        <v>0.81235144169225404</v>
      </c>
      <c r="G624">
        <v>2.51517779705117</v>
      </c>
      <c r="H624" t="s">
        <v>67</v>
      </c>
      <c r="I624" t="s">
        <v>84</v>
      </c>
      <c r="J624" t="s">
        <v>85</v>
      </c>
      <c r="K624">
        <v>10</v>
      </c>
      <c r="L624">
        <v>0.91608622131051198</v>
      </c>
    </row>
    <row r="625" spans="1:12">
      <c r="A625" t="str">
        <f t="shared" si="9"/>
        <v>G405H22</v>
      </c>
      <c r="B625">
        <v>22</v>
      </c>
      <c r="C625">
        <v>549</v>
      </c>
      <c r="D625">
        <v>684.85056595999197</v>
      </c>
      <c r="E625">
        <v>17009</v>
      </c>
      <c r="F625">
        <v>0.80163473214107295</v>
      </c>
      <c r="G625">
        <v>3.2277029807748798</v>
      </c>
      <c r="H625" t="s">
        <v>67</v>
      </c>
      <c r="I625" t="s">
        <v>86</v>
      </c>
      <c r="J625" t="s">
        <v>87</v>
      </c>
      <c r="K625">
        <v>10</v>
      </c>
      <c r="L625">
        <v>0.89602820851836895</v>
      </c>
    </row>
    <row r="626" spans="1:12">
      <c r="A626" t="str">
        <f t="shared" si="9"/>
        <v>H103H22</v>
      </c>
      <c r="B626">
        <v>22</v>
      </c>
      <c r="C626">
        <v>20</v>
      </c>
      <c r="D626">
        <v>29.502559489306002</v>
      </c>
      <c r="E626">
        <v>760</v>
      </c>
      <c r="F626">
        <v>0.67790728486623497</v>
      </c>
      <c r="G626">
        <v>2.6315789473684199</v>
      </c>
      <c r="H626" t="s">
        <v>67</v>
      </c>
      <c r="I626" t="s">
        <v>88</v>
      </c>
      <c r="J626" t="s">
        <v>89</v>
      </c>
      <c r="K626">
        <v>10</v>
      </c>
      <c r="L626">
        <v>0.93050040361514896</v>
      </c>
    </row>
    <row r="627" spans="1:12">
      <c r="A627" t="str">
        <f t="shared" si="9"/>
        <v>H202H22</v>
      </c>
      <c r="B627">
        <v>22</v>
      </c>
      <c r="C627">
        <v>137</v>
      </c>
      <c r="D627">
        <v>212.26709095598599</v>
      </c>
      <c r="E627">
        <v>7338</v>
      </c>
      <c r="F627">
        <v>0.6454132827797</v>
      </c>
      <c r="G627">
        <v>1.86699373126192</v>
      </c>
      <c r="H627" t="s">
        <v>67</v>
      </c>
      <c r="I627" t="s">
        <v>90</v>
      </c>
      <c r="J627" t="s">
        <v>91</v>
      </c>
      <c r="K627">
        <v>10</v>
      </c>
      <c r="L627">
        <v>0.82352605991640404</v>
      </c>
    </row>
    <row r="628" spans="1:12">
      <c r="A628" t="str">
        <f t="shared" si="9"/>
        <v>H212H22</v>
      </c>
      <c r="B628">
        <v>22</v>
      </c>
      <c r="C628">
        <v>15</v>
      </c>
      <c r="D628">
        <v>20.980475934256798</v>
      </c>
      <c r="E628">
        <v>417</v>
      </c>
      <c r="F628">
        <v>0.71495041613942201</v>
      </c>
      <c r="G628">
        <v>3.5971223021582701</v>
      </c>
      <c r="H628" t="s">
        <v>67</v>
      </c>
      <c r="I628" t="s">
        <v>92</v>
      </c>
      <c r="J628" t="s">
        <v>93</v>
      </c>
      <c r="K628">
        <v>10</v>
      </c>
      <c r="L628">
        <v>1.10531999991008</v>
      </c>
    </row>
    <row r="629" spans="1:12">
      <c r="A629" t="str">
        <f t="shared" si="9"/>
        <v>L106H22</v>
      </c>
      <c r="B629">
        <v>22</v>
      </c>
      <c r="C629">
        <v>242</v>
      </c>
      <c r="D629">
        <v>289.53374989588701</v>
      </c>
      <c r="E629">
        <v>8455</v>
      </c>
      <c r="F629">
        <v>0.83582656628811003</v>
      </c>
      <c r="G629">
        <v>2.8622117090478998</v>
      </c>
      <c r="H629" t="s">
        <v>67</v>
      </c>
      <c r="I629" t="s">
        <v>94</v>
      </c>
      <c r="J629" t="s">
        <v>95</v>
      </c>
      <c r="K629">
        <v>10</v>
      </c>
      <c r="L629">
        <v>0.85815615339347995</v>
      </c>
    </row>
    <row r="630" spans="1:12">
      <c r="A630" t="str">
        <f t="shared" si="9"/>
        <v>L302H22</v>
      </c>
      <c r="B630">
        <v>22</v>
      </c>
      <c r="C630">
        <v>245</v>
      </c>
      <c r="D630">
        <v>312.50089689230401</v>
      </c>
      <c r="E630">
        <v>7671</v>
      </c>
      <c r="F630">
        <v>0.78399774988304705</v>
      </c>
      <c r="G630">
        <v>3.19384695606831</v>
      </c>
      <c r="H630" t="s">
        <v>67</v>
      </c>
      <c r="I630" t="s">
        <v>96</v>
      </c>
      <c r="J630" t="s">
        <v>97</v>
      </c>
      <c r="K630">
        <v>10</v>
      </c>
      <c r="L630">
        <v>0.84276810828395299</v>
      </c>
    </row>
    <row r="631" spans="1:12">
      <c r="A631" t="str">
        <f t="shared" si="9"/>
        <v>L308H22</v>
      </c>
      <c r="B631">
        <v>22</v>
      </c>
      <c r="C631">
        <v>238</v>
      </c>
      <c r="D631">
        <v>304.48935203397298</v>
      </c>
      <c r="E631">
        <v>9951</v>
      </c>
      <c r="F631">
        <v>0.78163652820754703</v>
      </c>
      <c r="G631">
        <v>2.3917194251834002</v>
      </c>
      <c r="H631" t="s">
        <v>67</v>
      </c>
      <c r="I631" t="s">
        <v>98</v>
      </c>
      <c r="J631" t="s">
        <v>99</v>
      </c>
      <c r="K631">
        <v>10</v>
      </c>
      <c r="L631">
        <v>0.892368196230517</v>
      </c>
    </row>
    <row r="632" spans="1:12">
      <c r="A632" t="str">
        <f t="shared" si="9"/>
        <v>N101H22</v>
      </c>
      <c r="B632">
        <v>22</v>
      </c>
      <c r="C632">
        <v>397</v>
      </c>
      <c r="D632">
        <v>447.31981136732298</v>
      </c>
      <c r="E632">
        <v>14237</v>
      </c>
      <c r="F632">
        <v>0.88750819863419395</v>
      </c>
      <c r="G632">
        <v>2.78850881505935</v>
      </c>
      <c r="H632" t="s">
        <v>67</v>
      </c>
      <c r="I632" t="s">
        <v>100</v>
      </c>
      <c r="J632" t="s">
        <v>101</v>
      </c>
      <c r="K632">
        <v>10</v>
      </c>
      <c r="L632">
        <v>0.89886266316493302</v>
      </c>
    </row>
    <row r="633" spans="1:12">
      <c r="A633" t="str">
        <f t="shared" si="9"/>
        <v>N411H22</v>
      </c>
      <c r="B633">
        <v>22</v>
      </c>
      <c r="C633">
        <v>65</v>
      </c>
      <c r="D633">
        <v>67.999715043543802</v>
      </c>
      <c r="E633">
        <v>2922</v>
      </c>
      <c r="F633">
        <v>0.95588635861748905</v>
      </c>
      <c r="G633">
        <v>2.22450376454483</v>
      </c>
      <c r="H633" t="s">
        <v>67</v>
      </c>
      <c r="I633" t="s">
        <v>102</v>
      </c>
      <c r="J633" t="s">
        <v>103</v>
      </c>
      <c r="K633">
        <v>10</v>
      </c>
      <c r="L633">
        <v>1.0456409929027399</v>
      </c>
    </row>
    <row r="634" spans="1:12">
      <c r="A634" t="str">
        <f t="shared" si="9"/>
        <v>R101H22</v>
      </c>
      <c r="B634">
        <v>22</v>
      </c>
      <c r="C634">
        <v>22</v>
      </c>
      <c r="D634">
        <v>23.7248370324745</v>
      </c>
      <c r="E634">
        <v>793</v>
      </c>
      <c r="F634">
        <v>0.92729825582727898</v>
      </c>
      <c r="G634">
        <v>2.77427490542245</v>
      </c>
      <c r="H634" t="s">
        <v>67</v>
      </c>
      <c r="I634" t="s">
        <v>104</v>
      </c>
      <c r="J634" t="s">
        <v>105</v>
      </c>
      <c r="K634">
        <v>10</v>
      </c>
      <c r="L634">
        <v>1.0164550596603501</v>
      </c>
    </row>
    <row r="635" spans="1:12">
      <c r="A635" t="str">
        <f t="shared" si="9"/>
        <v>S116H22</v>
      </c>
      <c r="B635">
        <v>22</v>
      </c>
      <c r="C635">
        <v>222</v>
      </c>
      <c r="D635">
        <v>320.37080152141601</v>
      </c>
      <c r="E635">
        <v>7071</v>
      </c>
      <c r="F635">
        <v>0.69294704431783105</v>
      </c>
      <c r="G635">
        <v>3.1395842172252899</v>
      </c>
      <c r="H635" t="s">
        <v>67</v>
      </c>
      <c r="I635" t="s">
        <v>106</v>
      </c>
      <c r="J635" t="s">
        <v>107</v>
      </c>
      <c r="K635">
        <v>10</v>
      </c>
      <c r="L635">
        <v>0.71281220896875797</v>
      </c>
    </row>
    <row r="636" spans="1:12">
      <c r="A636" t="str">
        <f t="shared" si="9"/>
        <v>S308H22</v>
      </c>
      <c r="B636">
        <v>22</v>
      </c>
      <c r="C636">
        <v>136</v>
      </c>
      <c r="D636">
        <v>191.819931261287</v>
      </c>
      <c r="E636">
        <v>7343</v>
      </c>
      <c r="F636">
        <v>0.70899827304571195</v>
      </c>
      <c r="G636">
        <v>1.8521040446683901</v>
      </c>
      <c r="H636" t="s">
        <v>67</v>
      </c>
      <c r="I636" t="s">
        <v>108</v>
      </c>
      <c r="J636" t="s">
        <v>109</v>
      </c>
      <c r="K636">
        <v>10</v>
      </c>
      <c r="L636">
        <v>0.79982608219322104</v>
      </c>
    </row>
    <row r="637" spans="1:12">
      <c r="A637" t="str">
        <f t="shared" si="9"/>
        <v>S314H22</v>
      </c>
      <c r="B637">
        <v>22</v>
      </c>
      <c r="C637">
        <v>369</v>
      </c>
      <c r="D637">
        <v>453.816424016822</v>
      </c>
      <c r="E637">
        <v>11082</v>
      </c>
      <c r="F637">
        <v>0.81310411098369895</v>
      </c>
      <c r="G637">
        <v>3.3297238765565802</v>
      </c>
      <c r="H637" t="s">
        <v>67</v>
      </c>
      <c r="I637" t="s">
        <v>110</v>
      </c>
      <c r="J637" t="s">
        <v>111</v>
      </c>
      <c r="K637">
        <v>10</v>
      </c>
      <c r="L637">
        <v>0.85236497722220095</v>
      </c>
    </row>
    <row r="638" spans="1:12">
      <c r="A638" t="str">
        <f t="shared" si="9"/>
        <v>T101H22</v>
      </c>
      <c r="B638">
        <v>22</v>
      </c>
      <c r="C638">
        <v>366</v>
      </c>
      <c r="D638">
        <v>460.87898371024198</v>
      </c>
      <c r="E638">
        <v>11750</v>
      </c>
      <c r="F638">
        <v>0.794134714179345</v>
      </c>
      <c r="G638">
        <v>3.1148936170212802</v>
      </c>
      <c r="H638" t="s">
        <v>67</v>
      </c>
      <c r="I638" t="s">
        <v>112</v>
      </c>
      <c r="J638" t="s">
        <v>113</v>
      </c>
      <c r="K638">
        <v>10</v>
      </c>
      <c r="L638">
        <v>0.86510413454927204</v>
      </c>
    </row>
    <row r="639" spans="1:12">
      <c r="A639" t="str">
        <f t="shared" si="9"/>
        <v>T202H22</v>
      </c>
      <c r="B639">
        <v>22</v>
      </c>
      <c r="C639">
        <v>117</v>
      </c>
      <c r="D639">
        <v>135.277828821215</v>
      </c>
      <c r="E639">
        <v>2969</v>
      </c>
      <c r="F639">
        <v>0.86488673731323995</v>
      </c>
      <c r="G639">
        <v>3.94072078140788</v>
      </c>
      <c r="H639" t="s">
        <v>67</v>
      </c>
      <c r="I639" t="s">
        <v>114</v>
      </c>
      <c r="J639" t="s">
        <v>115</v>
      </c>
      <c r="K639">
        <v>10</v>
      </c>
      <c r="L639">
        <v>0.89653065886342997</v>
      </c>
    </row>
    <row r="640" spans="1:12">
      <c r="A640" t="str">
        <f t="shared" ref="A640:A703" si="10">CONCATENATE(I640, B640)</f>
        <v>T312H22</v>
      </c>
      <c r="B640">
        <v>22</v>
      </c>
      <c r="C640">
        <v>0</v>
      </c>
      <c r="D640">
        <v>2.32944155898773</v>
      </c>
      <c r="E640">
        <v>995</v>
      </c>
      <c r="F640">
        <v>0</v>
      </c>
      <c r="G640">
        <v>0</v>
      </c>
      <c r="H640" t="s">
        <v>67</v>
      </c>
      <c r="I640" t="s">
        <v>116</v>
      </c>
      <c r="J640" t="s">
        <v>117</v>
      </c>
      <c r="K640">
        <v>10</v>
      </c>
      <c r="L640">
        <v>0.71034343743123396</v>
      </c>
    </row>
    <row r="641" spans="1:12">
      <c r="A641" t="str">
        <f t="shared" si="10"/>
        <v>V217H22</v>
      </c>
      <c r="B641">
        <v>22</v>
      </c>
      <c r="C641">
        <v>285</v>
      </c>
      <c r="D641">
        <v>326.461647291681</v>
      </c>
      <c r="E641">
        <v>7926</v>
      </c>
      <c r="F641">
        <v>0.87299688145408305</v>
      </c>
      <c r="G641">
        <v>3.59576078728236</v>
      </c>
      <c r="H641" t="s">
        <v>67</v>
      </c>
      <c r="I641" t="s">
        <v>118</v>
      </c>
      <c r="J641" t="s">
        <v>119</v>
      </c>
      <c r="K641">
        <v>10</v>
      </c>
      <c r="L641">
        <v>0.97563232374269404</v>
      </c>
    </row>
    <row r="642" spans="1:12">
      <c r="A642" t="str">
        <f t="shared" si="10"/>
        <v>W107H22</v>
      </c>
      <c r="B642">
        <v>22</v>
      </c>
      <c r="C642">
        <v>29</v>
      </c>
      <c r="D642">
        <v>25.626971853015998</v>
      </c>
      <c r="E642">
        <v>1115</v>
      </c>
      <c r="F642">
        <v>1.1316202384866301</v>
      </c>
      <c r="G642">
        <v>2.6008968609865502</v>
      </c>
      <c r="H642" t="s">
        <v>67</v>
      </c>
      <c r="I642" t="s">
        <v>120</v>
      </c>
      <c r="J642" t="s">
        <v>121</v>
      </c>
      <c r="K642">
        <v>10</v>
      </c>
      <c r="L642">
        <v>1.0448168714304</v>
      </c>
    </row>
    <row r="643" spans="1:12">
      <c r="A643" t="str">
        <f t="shared" si="10"/>
        <v>Z102H22</v>
      </c>
      <c r="B643">
        <v>22</v>
      </c>
      <c r="C643">
        <v>26</v>
      </c>
      <c r="D643">
        <v>27.7130582141797</v>
      </c>
      <c r="E643">
        <v>941</v>
      </c>
      <c r="F643">
        <v>0.93818588331390895</v>
      </c>
      <c r="G643">
        <v>2.76301806588735</v>
      </c>
      <c r="H643" t="s">
        <v>67</v>
      </c>
      <c r="I643" t="s">
        <v>122</v>
      </c>
      <c r="J643" t="s">
        <v>123</v>
      </c>
      <c r="K643">
        <v>10</v>
      </c>
      <c r="L643">
        <v>1.0263766405125001</v>
      </c>
    </row>
    <row r="644" spans="1:12">
      <c r="A644" t="str">
        <f t="shared" si="10"/>
        <v>A111H23</v>
      </c>
      <c r="B644">
        <v>23</v>
      </c>
      <c r="C644">
        <v>263</v>
      </c>
      <c r="D644">
        <v>350.36360011475603</v>
      </c>
      <c r="E644">
        <v>9723</v>
      </c>
      <c r="F644">
        <v>0.75064875436220801</v>
      </c>
      <c r="G644">
        <v>2.7049264630258101</v>
      </c>
      <c r="H644" t="s">
        <v>67</v>
      </c>
      <c r="I644" t="s">
        <v>68</v>
      </c>
      <c r="J644" t="s">
        <v>69</v>
      </c>
      <c r="K644">
        <v>11</v>
      </c>
      <c r="L644">
        <v>0.81512753977018604</v>
      </c>
    </row>
    <row r="645" spans="1:12">
      <c r="A645" t="str">
        <f t="shared" si="10"/>
        <v>A210H23</v>
      </c>
      <c r="B645">
        <v>23</v>
      </c>
      <c r="C645">
        <v>182</v>
      </c>
      <c r="D645">
        <v>227.528787301037</v>
      </c>
      <c r="E645">
        <v>6324</v>
      </c>
      <c r="F645">
        <v>0.79989878273820902</v>
      </c>
      <c r="G645">
        <v>2.8779253636938602</v>
      </c>
      <c r="H645" t="s">
        <v>67</v>
      </c>
      <c r="I645" t="s">
        <v>70</v>
      </c>
      <c r="J645" t="s">
        <v>71</v>
      </c>
      <c r="K645">
        <v>11</v>
      </c>
      <c r="L645">
        <v>0.87427101407823304</v>
      </c>
    </row>
    <row r="646" spans="1:12">
      <c r="A646" t="str">
        <f t="shared" si="10"/>
        <v>B120H23</v>
      </c>
      <c r="B646">
        <v>23</v>
      </c>
      <c r="C646">
        <v>134</v>
      </c>
      <c r="D646">
        <v>145.832389963612</v>
      </c>
      <c r="E646">
        <v>3926</v>
      </c>
      <c r="F646">
        <v>0.91886308681792805</v>
      </c>
      <c r="G646">
        <v>3.4131431482424901</v>
      </c>
      <c r="H646" t="s">
        <v>67</v>
      </c>
      <c r="I646" t="s">
        <v>72</v>
      </c>
      <c r="J646" t="s">
        <v>73</v>
      </c>
      <c r="K646">
        <v>11</v>
      </c>
      <c r="L646">
        <v>0.93704855089866101</v>
      </c>
    </row>
    <row r="647" spans="1:12">
      <c r="A647" t="str">
        <f t="shared" si="10"/>
        <v>C121H23</v>
      </c>
      <c r="B647">
        <v>23</v>
      </c>
      <c r="C647">
        <v>28</v>
      </c>
      <c r="D647">
        <v>24.954869344037402</v>
      </c>
      <c r="E647">
        <v>530</v>
      </c>
      <c r="F647">
        <v>1.1220255098907299</v>
      </c>
      <c r="G647">
        <v>5.2830188679245298</v>
      </c>
      <c r="H647" t="s">
        <v>67</v>
      </c>
      <c r="I647" t="s">
        <v>74</v>
      </c>
      <c r="J647" t="s">
        <v>75</v>
      </c>
      <c r="K647">
        <v>11</v>
      </c>
      <c r="L647">
        <v>1.05999357198192</v>
      </c>
    </row>
    <row r="648" spans="1:12">
      <c r="A648" t="str">
        <f t="shared" si="10"/>
        <v>C313H23</v>
      </c>
      <c r="B648">
        <v>23</v>
      </c>
      <c r="C648">
        <v>151</v>
      </c>
      <c r="D648">
        <v>146.36538295409301</v>
      </c>
      <c r="E648">
        <v>4455</v>
      </c>
      <c r="F648">
        <v>1.0316647075446801</v>
      </c>
      <c r="G648">
        <v>3.3894500561167198</v>
      </c>
      <c r="H648" t="s">
        <v>67</v>
      </c>
      <c r="I648" t="s">
        <v>76</v>
      </c>
      <c r="J648" t="s">
        <v>77</v>
      </c>
      <c r="K648">
        <v>11</v>
      </c>
      <c r="L648">
        <v>0.97547121455569097</v>
      </c>
    </row>
    <row r="649" spans="1:12">
      <c r="A649" t="str">
        <f t="shared" si="10"/>
        <v>C418H23</v>
      </c>
      <c r="B649">
        <v>23</v>
      </c>
      <c r="C649">
        <v>270</v>
      </c>
      <c r="D649">
        <v>293.05435911822298</v>
      </c>
      <c r="E649">
        <v>9576</v>
      </c>
      <c r="F649">
        <v>0.92133077567045296</v>
      </c>
      <c r="G649">
        <v>2.8195488721804498</v>
      </c>
      <c r="H649" t="s">
        <v>67</v>
      </c>
      <c r="I649" t="s">
        <v>78</v>
      </c>
      <c r="J649" t="s">
        <v>79</v>
      </c>
      <c r="K649">
        <v>11</v>
      </c>
      <c r="L649">
        <v>1.0301442051065</v>
      </c>
    </row>
    <row r="650" spans="1:12">
      <c r="A650" t="str">
        <f t="shared" si="10"/>
        <v>D102H23</v>
      </c>
      <c r="B650">
        <v>23</v>
      </c>
      <c r="C650">
        <v>28</v>
      </c>
      <c r="D650">
        <v>28.420919624483801</v>
      </c>
      <c r="E650">
        <v>5034</v>
      </c>
      <c r="F650">
        <v>0.98518979575448995</v>
      </c>
      <c r="G650">
        <v>0.55621771950734999</v>
      </c>
      <c r="H650" t="s">
        <v>67</v>
      </c>
      <c r="I650" t="s">
        <v>80</v>
      </c>
      <c r="J650" t="s">
        <v>81</v>
      </c>
      <c r="K650">
        <v>11</v>
      </c>
      <c r="L650">
        <v>0.92242729984681404</v>
      </c>
    </row>
    <row r="651" spans="1:12">
      <c r="A651" t="str">
        <f t="shared" si="10"/>
        <v>F704H23</v>
      </c>
      <c r="B651">
        <v>23</v>
      </c>
      <c r="C651">
        <v>376</v>
      </c>
      <c r="D651">
        <v>416.00672769021401</v>
      </c>
      <c r="E651">
        <v>8575</v>
      </c>
      <c r="F651">
        <v>0.90383153678224604</v>
      </c>
      <c r="G651">
        <v>4.3848396501457696</v>
      </c>
      <c r="H651" t="s">
        <v>67</v>
      </c>
      <c r="I651" t="s">
        <v>82</v>
      </c>
      <c r="J651" t="s">
        <v>83</v>
      </c>
      <c r="K651">
        <v>11</v>
      </c>
      <c r="L651">
        <v>0.90000061342201099</v>
      </c>
    </row>
    <row r="652" spans="1:12">
      <c r="A652" t="str">
        <f t="shared" si="10"/>
        <v>G107H23</v>
      </c>
      <c r="B652">
        <v>23</v>
      </c>
      <c r="C652">
        <v>375</v>
      </c>
      <c r="D652">
        <v>436.84557353883201</v>
      </c>
      <c r="E652">
        <v>13970</v>
      </c>
      <c r="F652">
        <v>0.85842691952254702</v>
      </c>
      <c r="G652">
        <v>2.68432355046528</v>
      </c>
      <c r="H652" t="s">
        <v>67</v>
      </c>
      <c r="I652" t="s">
        <v>84</v>
      </c>
      <c r="J652" t="s">
        <v>85</v>
      </c>
      <c r="K652">
        <v>11</v>
      </c>
      <c r="L652">
        <v>0.911166455536492</v>
      </c>
    </row>
    <row r="653" spans="1:12">
      <c r="A653" t="str">
        <f t="shared" si="10"/>
        <v>G405H23</v>
      </c>
      <c r="B653">
        <v>23</v>
      </c>
      <c r="C653">
        <v>538</v>
      </c>
      <c r="D653">
        <v>658.70932810296199</v>
      </c>
      <c r="E653">
        <v>15705</v>
      </c>
      <c r="F653">
        <v>0.81674871911925595</v>
      </c>
      <c r="G653">
        <v>3.4256606176376998</v>
      </c>
      <c r="H653" t="s">
        <v>67</v>
      </c>
      <c r="I653" t="s">
        <v>86</v>
      </c>
      <c r="J653" t="s">
        <v>87</v>
      </c>
      <c r="K653">
        <v>11</v>
      </c>
      <c r="L653">
        <v>0.89608534910098603</v>
      </c>
    </row>
    <row r="654" spans="1:12">
      <c r="A654" t="str">
        <f t="shared" si="10"/>
        <v>H103H23</v>
      </c>
      <c r="B654">
        <v>23</v>
      </c>
      <c r="C654">
        <v>24</v>
      </c>
      <c r="D654">
        <v>34.249504698062999</v>
      </c>
      <c r="E654">
        <v>788</v>
      </c>
      <c r="F654">
        <v>0.70074006066888594</v>
      </c>
      <c r="G654">
        <v>3.0456852791878202</v>
      </c>
      <c r="H654" t="s">
        <v>67</v>
      </c>
      <c r="I654" t="s">
        <v>88</v>
      </c>
      <c r="J654" t="s">
        <v>89</v>
      </c>
      <c r="K654">
        <v>11</v>
      </c>
      <c r="L654">
        <v>0.92402714458734303</v>
      </c>
    </row>
    <row r="655" spans="1:12">
      <c r="A655" t="str">
        <f t="shared" si="10"/>
        <v>H202H23</v>
      </c>
      <c r="B655">
        <v>23</v>
      </c>
      <c r="C655">
        <v>161</v>
      </c>
      <c r="D655">
        <v>211.45650965452199</v>
      </c>
      <c r="E655">
        <v>6984</v>
      </c>
      <c r="F655">
        <v>0.76138587676038905</v>
      </c>
      <c r="G655">
        <v>2.3052691867124899</v>
      </c>
      <c r="H655" t="s">
        <v>67</v>
      </c>
      <c r="I655" t="s">
        <v>90</v>
      </c>
      <c r="J655" t="s">
        <v>91</v>
      </c>
      <c r="K655">
        <v>11</v>
      </c>
      <c r="L655">
        <v>0.82698661128939899</v>
      </c>
    </row>
    <row r="656" spans="1:12">
      <c r="A656" t="str">
        <f t="shared" si="10"/>
        <v>H212H23</v>
      </c>
      <c r="B656">
        <v>23</v>
      </c>
      <c r="C656">
        <v>14</v>
      </c>
      <c r="D656">
        <v>18.562595733794101</v>
      </c>
      <c r="E656">
        <v>417</v>
      </c>
      <c r="F656">
        <v>0.75420486449060298</v>
      </c>
      <c r="G656">
        <v>3.35731414868106</v>
      </c>
      <c r="H656" t="s">
        <v>67</v>
      </c>
      <c r="I656" t="s">
        <v>92</v>
      </c>
      <c r="J656" t="s">
        <v>93</v>
      </c>
      <c r="K656">
        <v>11</v>
      </c>
      <c r="L656">
        <v>1.10623231330111</v>
      </c>
    </row>
    <row r="657" spans="1:12">
      <c r="A657" t="str">
        <f t="shared" si="10"/>
        <v>L106H23</v>
      </c>
      <c r="B657">
        <v>23</v>
      </c>
      <c r="C657">
        <v>225</v>
      </c>
      <c r="D657">
        <v>300.82695677824</v>
      </c>
      <c r="E657">
        <v>8153</v>
      </c>
      <c r="F657">
        <v>0.74793829120128597</v>
      </c>
      <c r="G657">
        <v>2.7597203483380399</v>
      </c>
      <c r="H657" t="s">
        <v>67</v>
      </c>
      <c r="I657" t="s">
        <v>94</v>
      </c>
      <c r="J657" t="s">
        <v>95</v>
      </c>
      <c r="K657">
        <v>11</v>
      </c>
      <c r="L657">
        <v>0.84845443219331496</v>
      </c>
    </row>
    <row r="658" spans="1:12">
      <c r="A658" t="str">
        <f t="shared" si="10"/>
        <v>L302H23</v>
      </c>
      <c r="B658">
        <v>23</v>
      </c>
      <c r="C658">
        <v>204</v>
      </c>
      <c r="D658">
        <v>277.92988896927102</v>
      </c>
      <c r="E658">
        <v>7178</v>
      </c>
      <c r="F658">
        <v>0.733998062448601</v>
      </c>
      <c r="G658">
        <v>2.8420172750069699</v>
      </c>
      <c r="H658" t="s">
        <v>67</v>
      </c>
      <c r="I658" t="s">
        <v>96</v>
      </c>
      <c r="J658" t="s">
        <v>97</v>
      </c>
      <c r="K658">
        <v>11</v>
      </c>
      <c r="L658">
        <v>0.83376940477338701</v>
      </c>
    </row>
    <row r="659" spans="1:12">
      <c r="A659" t="str">
        <f t="shared" si="10"/>
        <v>L308H23</v>
      </c>
      <c r="B659">
        <v>23</v>
      </c>
      <c r="C659">
        <v>246</v>
      </c>
      <c r="D659">
        <v>307.50453244970299</v>
      </c>
      <c r="E659">
        <v>10082</v>
      </c>
      <c r="F659">
        <v>0.79998820843473994</v>
      </c>
      <c r="G659">
        <v>2.4399920650664599</v>
      </c>
      <c r="H659" t="s">
        <v>67</v>
      </c>
      <c r="I659" t="s">
        <v>98</v>
      </c>
      <c r="J659" t="s">
        <v>99</v>
      </c>
      <c r="K659">
        <v>11</v>
      </c>
      <c r="L659">
        <v>0.87331770306817802</v>
      </c>
    </row>
    <row r="660" spans="1:12">
      <c r="A660" t="str">
        <f t="shared" si="10"/>
        <v>N101H23</v>
      </c>
      <c r="B660">
        <v>23</v>
      </c>
      <c r="C660">
        <v>372</v>
      </c>
      <c r="D660">
        <v>440.71111889948997</v>
      </c>
      <c r="E660">
        <v>13755</v>
      </c>
      <c r="F660">
        <v>0.84409034409871497</v>
      </c>
      <c r="G660">
        <v>2.7044711014176701</v>
      </c>
      <c r="H660" t="s">
        <v>67</v>
      </c>
      <c r="I660" t="s">
        <v>100</v>
      </c>
      <c r="J660" t="s">
        <v>101</v>
      </c>
      <c r="K660">
        <v>11</v>
      </c>
      <c r="L660">
        <v>0.89768908365176603</v>
      </c>
    </row>
    <row r="661" spans="1:12">
      <c r="A661" t="str">
        <f t="shared" si="10"/>
        <v>N411H23</v>
      </c>
      <c r="B661">
        <v>23</v>
      </c>
      <c r="C661">
        <v>89</v>
      </c>
      <c r="D661">
        <v>79.719063736489304</v>
      </c>
      <c r="E661">
        <v>2718</v>
      </c>
      <c r="F661">
        <v>1.11642053767953</v>
      </c>
      <c r="G661">
        <v>3.2744665194996299</v>
      </c>
      <c r="H661" t="s">
        <v>67</v>
      </c>
      <c r="I661" t="s">
        <v>102</v>
      </c>
      <c r="J661" t="s">
        <v>103</v>
      </c>
      <c r="K661">
        <v>11</v>
      </c>
      <c r="L661">
        <v>1.0438565624154801</v>
      </c>
    </row>
    <row r="662" spans="1:12">
      <c r="A662" t="str">
        <f t="shared" si="10"/>
        <v>R101H23</v>
      </c>
      <c r="B662">
        <v>23</v>
      </c>
      <c r="C662">
        <v>26</v>
      </c>
      <c r="D662">
        <v>26.4888305104149</v>
      </c>
      <c r="E662">
        <v>735</v>
      </c>
      <c r="F662">
        <v>0.98154578737544695</v>
      </c>
      <c r="G662">
        <v>3.5374149659863998</v>
      </c>
      <c r="H662" t="s">
        <v>67</v>
      </c>
      <c r="I662" t="s">
        <v>104</v>
      </c>
      <c r="J662" t="s">
        <v>105</v>
      </c>
      <c r="K662">
        <v>11</v>
      </c>
      <c r="L662">
        <v>0.99485543566036805</v>
      </c>
    </row>
    <row r="663" spans="1:12">
      <c r="A663" t="str">
        <f t="shared" si="10"/>
        <v>S116H23</v>
      </c>
      <c r="B663">
        <v>23</v>
      </c>
      <c r="C663">
        <v>222</v>
      </c>
      <c r="D663">
        <v>307.03419921901099</v>
      </c>
      <c r="E663">
        <v>6669</v>
      </c>
      <c r="F663">
        <v>0.72304648981999897</v>
      </c>
      <c r="G663">
        <v>3.3288349077822801</v>
      </c>
      <c r="H663" t="s">
        <v>67</v>
      </c>
      <c r="I663" t="s">
        <v>106</v>
      </c>
      <c r="J663" t="s">
        <v>107</v>
      </c>
      <c r="K663">
        <v>11</v>
      </c>
      <c r="L663">
        <v>0.70802596784194705</v>
      </c>
    </row>
    <row r="664" spans="1:12">
      <c r="A664" t="str">
        <f t="shared" si="10"/>
        <v>S308H23</v>
      </c>
      <c r="B664">
        <v>23</v>
      </c>
      <c r="C664">
        <v>144</v>
      </c>
      <c r="D664">
        <v>197.12135640366901</v>
      </c>
      <c r="E664">
        <v>6966</v>
      </c>
      <c r="F664">
        <v>0.73051445377188795</v>
      </c>
      <c r="G664">
        <v>2.0671834625323</v>
      </c>
      <c r="H664" t="s">
        <v>67</v>
      </c>
      <c r="I664" t="s">
        <v>108</v>
      </c>
      <c r="J664" t="s">
        <v>109</v>
      </c>
      <c r="K664">
        <v>11</v>
      </c>
      <c r="L664">
        <v>0.79382249827038998</v>
      </c>
    </row>
    <row r="665" spans="1:12">
      <c r="A665" t="str">
        <f t="shared" si="10"/>
        <v>S314H23</v>
      </c>
      <c r="B665">
        <v>23</v>
      </c>
      <c r="C665">
        <v>361</v>
      </c>
      <c r="D665">
        <v>424.36204090990401</v>
      </c>
      <c r="E665">
        <v>10938</v>
      </c>
      <c r="F665">
        <v>0.85068871670509305</v>
      </c>
      <c r="G665">
        <v>3.3004205522033301</v>
      </c>
      <c r="H665" t="s">
        <v>67</v>
      </c>
      <c r="I665" t="s">
        <v>110</v>
      </c>
      <c r="J665" t="s">
        <v>111</v>
      </c>
      <c r="K665">
        <v>11</v>
      </c>
      <c r="L665">
        <v>0.851511586272656</v>
      </c>
    </row>
    <row r="666" spans="1:12">
      <c r="A666" t="str">
        <f t="shared" si="10"/>
        <v>T101H23</v>
      </c>
      <c r="B666">
        <v>23</v>
      </c>
      <c r="C666">
        <v>344</v>
      </c>
      <c r="D666">
        <v>445.184348285608</v>
      </c>
      <c r="E666">
        <v>11563</v>
      </c>
      <c r="F666">
        <v>0.77271359903989001</v>
      </c>
      <c r="G666">
        <v>2.9750064862059999</v>
      </c>
      <c r="H666" t="s">
        <v>67</v>
      </c>
      <c r="I666" t="s">
        <v>112</v>
      </c>
      <c r="J666" t="s">
        <v>113</v>
      </c>
      <c r="K666">
        <v>11</v>
      </c>
      <c r="L666">
        <v>0.859922794346766</v>
      </c>
    </row>
    <row r="667" spans="1:12">
      <c r="A667" t="str">
        <f t="shared" si="10"/>
        <v>T202H23</v>
      </c>
      <c r="B667">
        <v>23</v>
      </c>
      <c r="C667">
        <v>137</v>
      </c>
      <c r="D667">
        <v>149.22829222887199</v>
      </c>
      <c r="E667">
        <v>2920</v>
      </c>
      <c r="F667">
        <v>0.91805647544289104</v>
      </c>
      <c r="G667">
        <v>4.6917808219178099</v>
      </c>
      <c r="H667" t="s">
        <v>67</v>
      </c>
      <c r="I667" t="s">
        <v>114</v>
      </c>
      <c r="J667" t="s">
        <v>115</v>
      </c>
      <c r="K667">
        <v>11</v>
      </c>
      <c r="L667">
        <v>0.89693957894205101</v>
      </c>
    </row>
    <row r="668" spans="1:12">
      <c r="A668" t="str">
        <f t="shared" si="10"/>
        <v>T312H23</v>
      </c>
      <c r="B668">
        <v>23</v>
      </c>
      <c r="C668">
        <v>1</v>
      </c>
      <c r="D668">
        <v>1.1559747257853299</v>
      </c>
      <c r="E668">
        <v>1030</v>
      </c>
      <c r="F668">
        <v>0.865070816596476</v>
      </c>
      <c r="G668">
        <v>9.7087378640776698E-2</v>
      </c>
      <c r="H668" t="s">
        <v>67</v>
      </c>
      <c r="I668" t="s">
        <v>116</v>
      </c>
      <c r="J668" t="s">
        <v>117</v>
      </c>
      <c r="K668">
        <v>11</v>
      </c>
      <c r="L668">
        <v>0.71855854685545195</v>
      </c>
    </row>
    <row r="669" spans="1:12">
      <c r="A669" t="str">
        <f t="shared" si="10"/>
        <v>V217H23</v>
      </c>
      <c r="B669">
        <v>23</v>
      </c>
      <c r="C669">
        <v>302</v>
      </c>
      <c r="D669">
        <v>310.99600866949999</v>
      </c>
      <c r="E669">
        <v>8023</v>
      </c>
      <c r="F669">
        <v>0.97107355586977995</v>
      </c>
      <c r="G669">
        <v>3.7641779882836799</v>
      </c>
      <c r="H669" t="s">
        <v>67</v>
      </c>
      <c r="I669" t="s">
        <v>118</v>
      </c>
      <c r="J669" t="s">
        <v>119</v>
      </c>
      <c r="K669">
        <v>11</v>
      </c>
      <c r="L669">
        <v>0.97586652906707905</v>
      </c>
    </row>
    <row r="670" spans="1:12">
      <c r="A670" t="str">
        <f t="shared" si="10"/>
        <v>W107H23</v>
      </c>
      <c r="B670">
        <v>23</v>
      </c>
      <c r="C670">
        <v>18</v>
      </c>
      <c r="D670">
        <v>22.919574140079099</v>
      </c>
      <c r="E670">
        <v>1038</v>
      </c>
      <c r="F670">
        <v>0.78535490624686899</v>
      </c>
      <c r="G670">
        <v>1.7341040462427699</v>
      </c>
      <c r="H670" t="s">
        <v>67</v>
      </c>
      <c r="I670" t="s">
        <v>120</v>
      </c>
      <c r="J670" t="s">
        <v>121</v>
      </c>
      <c r="K670">
        <v>11</v>
      </c>
      <c r="L670">
        <v>1.0267548786191301</v>
      </c>
    </row>
    <row r="671" spans="1:12">
      <c r="A671" t="str">
        <f t="shared" si="10"/>
        <v>Z102H23</v>
      </c>
      <c r="B671">
        <v>23</v>
      </c>
      <c r="C671">
        <v>20</v>
      </c>
      <c r="D671">
        <v>20.646555561343799</v>
      </c>
      <c r="E671">
        <v>867</v>
      </c>
      <c r="F671">
        <v>0.96868457988438905</v>
      </c>
      <c r="G671">
        <v>2.3068050749711699</v>
      </c>
      <c r="H671" t="s">
        <v>67</v>
      </c>
      <c r="I671" t="s">
        <v>122</v>
      </c>
      <c r="J671" t="s">
        <v>123</v>
      </c>
      <c r="K671">
        <v>11</v>
      </c>
      <c r="L671">
        <v>1.0266895663981901</v>
      </c>
    </row>
    <row r="672" spans="1:12">
      <c r="A672" t="str">
        <f t="shared" si="10"/>
        <v>A111H24</v>
      </c>
      <c r="B672">
        <v>24</v>
      </c>
      <c r="C672">
        <v>316</v>
      </c>
      <c r="D672">
        <v>377.29805828535399</v>
      </c>
      <c r="E672">
        <v>10104</v>
      </c>
      <c r="F672">
        <v>0.83753412735828803</v>
      </c>
      <c r="G672">
        <v>3.1274742676167899</v>
      </c>
      <c r="H672" t="s">
        <v>67</v>
      </c>
      <c r="I672" t="s">
        <v>68</v>
      </c>
      <c r="J672" t="s">
        <v>69</v>
      </c>
      <c r="K672">
        <v>12</v>
      </c>
      <c r="L672">
        <v>0.80654397055147198</v>
      </c>
    </row>
    <row r="673" spans="1:12">
      <c r="A673" t="str">
        <f t="shared" si="10"/>
        <v>A210H24</v>
      </c>
      <c r="B673">
        <v>24</v>
      </c>
      <c r="C673">
        <v>228</v>
      </c>
      <c r="D673">
        <v>244.048104926592</v>
      </c>
      <c r="E673">
        <v>6379</v>
      </c>
      <c r="F673">
        <v>0.93424204243905395</v>
      </c>
      <c r="G673">
        <v>3.5742279354130702</v>
      </c>
      <c r="H673" t="s">
        <v>67</v>
      </c>
      <c r="I673" t="s">
        <v>70</v>
      </c>
      <c r="J673" t="s">
        <v>71</v>
      </c>
      <c r="K673">
        <v>12</v>
      </c>
      <c r="L673">
        <v>0.86573022104391495</v>
      </c>
    </row>
    <row r="674" spans="1:12">
      <c r="A674" t="str">
        <f t="shared" si="10"/>
        <v>B120H24</v>
      </c>
      <c r="B674">
        <v>24</v>
      </c>
      <c r="C674">
        <v>155</v>
      </c>
      <c r="D674">
        <v>166.47820459527699</v>
      </c>
      <c r="E674">
        <v>4183</v>
      </c>
      <c r="F674">
        <v>0.93105280884556996</v>
      </c>
      <c r="G674">
        <v>3.7054745398039701</v>
      </c>
      <c r="H674" t="s">
        <v>67</v>
      </c>
      <c r="I674" t="s">
        <v>72</v>
      </c>
      <c r="J674" t="s">
        <v>73</v>
      </c>
      <c r="K674">
        <v>12</v>
      </c>
      <c r="L674">
        <v>0.93726065556454197</v>
      </c>
    </row>
    <row r="675" spans="1:12">
      <c r="A675" t="str">
        <f t="shared" si="10"/>
        <v>C121H24</v>
      </c>
      <c r="B675">
        <v>24</v>
      </c>
      <c r="C675">
        <v>36</v>
      </c>
      <c r="D675">
        <v>29.413825214245701</v>
      </c>
      <c r="E675">
        <v>550</v>
      </c>
      <c r="F675">
        <v>1.2239142558909499</v>
      </c>
      <c r="G675">
        <v>6.5454545454545503</v>
      </c>
      <c r="H675" t="s">
        <v>67</v>
      </c>
      <c r="I675" t="s">
        <v>74</v>
      </c>
      <c r="J675" t="s">
        <v>75</v>
      </c>
      <c r="K675">
        <v>12</v>
      </c>
      <c r="L675">
        <v>1.05695035800552</v>
      </c>
    </row>
    <row r="676" spans="1:12">
      <c r="A676" t="str">
        <f t="shared" si="10"/>
        <v>C313H24</v>
      </c>
      <c r="B676">
        <v>24</v>
      </c>
      <c r="C676">
        <v>157</v>
      </c>
      <c r="D676">
        <v>159.76879306508999</v>
      </c>
      <c r="E676">
        <v>4429</v>
      </c>
      <c r="F676">
        <v>0.98267000074312705</v>
      </c>
      <c r="G676">
        <v>3.5448182433958002</v>
      </c>
      <c r="H676" t="s">
        <v>67</v>
      </c>
      <c r="I676" t="s">
        <v>76</v>
      </c>
      <c r="J676" t="s">
        <v>77</v>
      </c>
      <c r="K676">
        <v>12</v>
      </c>
      <c r="L676">
        <v>0.96198528962370999</v>
      </c>
    </row>
    <row r="677" spans="1:12">
      <c r="A677" t="str">
        <f t="shared" si="10"/>
        <v>C418H24</v>
      </c>
      <c r="B677">
        <v>24</v>
      </c>
      <c r="C677">
        <v>335</v>
      </c>
      <c r="D677">
        <v>315.44694631550499</v>
      </c>
      <c r="E677">
        <v>10183</v>
      </c>
      <c r="F677">
        <v>1.06198523686116</v>
      </c>
      <c r="G677">
        <v>3.28979672002357</v>
      </c>
      <c r="H677" t="s">
        <v>67</v>
      </c>
      <c r="I677" t="s">
        <v>78</v>
      </c>
      <c r="J677" t="s">
        <v>79</v>
      </c>
      <c r="K677">
        <v>12</v>
      </c>
      <c r="L677">
        <v>1.02570228882644</v>
      </c>
    </row>
    <row r="678" spans="1:12">
      <c r="A678" t="str">
        <f t="shared" si="10"/>
        <v>D102H24</v>
      </c>
      <c r="B678">
        <v>24</v>
      </c>
      <c r="C678">
        <v>28</v>
      </c>
      <c r="D678">
        <v>27.300079480304198</v>
      </c>
      <c r="E678">
        <v>4891</v>
      </c>
      <c r="F678">
        <v>1.0256380396328399</v>
      </c>
      <c r="G678">
        <v>0.57248006542629304</v>
      </c>
      <c r="H678" t="s">
        <v>67</v>
      </c>
      <c r="I678" t="s">
        <v>80</v>
      </c>
      <c r="J678" t="s">
        <v>81</v>
      </c>
      <c r="K678">
        <v>12</v>
      </c>
      <c r="L678">
        <v>0.932207352438572</v>
      </c>
    </row>
    <row r="679" spans="1:12">
      <c r="A679" t="str">
        <f t="shared" si="10"/>
        <v>F704H24</v>
      </c>
      <c r="B679">
        <v>24</v>
      </c>
      <c r="C679">
        <v>436</v>
      </c>
      <c r="D679">
        <v>448.85754552427102</v>
      </c>
      <c r="E679">
        <v>8584</v>
      </c>
      <c r="F679">
        <v>0.97135495291885299</v>
      </c>
      <c r="G679">
        <v>5.0792171481826696</v>
      </c>
      <c r="H679" t="s">
        <v>67</v>
      </c>
      <c r="I679" t="s">
        <v>82</v>
      </c>
      <c r="J679" t="s">
        <v>83</v>
      </c>
      <c r="K679">
        <v>12</v>
      </c>
      <c r="L679">
        <v>0.899456679043935</v>
      </c>
    </row>
    <row r="680" spans="1:12">
      <c r="A680" t="str">
        <f t="shared" si="10"/>
        <v>G107H24</v>
      </c>
      <c r="B680">
        <v>24</v>
      </c>
      <c r="C680">
        <v>413</v>
      </c>
      <c r="D680">
        <v>467.99084332687102</v>
      </c>
      <c r="E680">
        <v>14067</v>
      </c>
      <c r="F680">
        <v>0.88249589898821501</v>
      </c>
      <c r="G680">
        <v>2.9359493850856602</v>
      </c>
      <c r="H680" t="s">
        <v>67</v>
      </c>
      <c r="I680" t="s">
        <v>84</v>
      </c>
      <c r="J680" t="s">
        <v>85</v>
      </c>
      <c r="K680">
        <v>12</v>
      </c>
      <c r="L680">
        <v>0.90624668976247302</v>
      </c>
    </row>
    <row r="681" spans="1:12">
      <c r="A681" t="str">
        <f t="shared" si="10"/>
        <v>G405H24</v>
      </c>
      <c r="B681">
        <v>24</v>
      </c>
      <c r="C681">
        <v>651</v>
      </c>
      <c r="D681">
        <v>728.64951277602495</v>
      </c>
      <c r="E681">
        <v>15357</v>
      </c>
      <c r="F681">
        <v>0.89343365854978196</v>
      </c>
      <c r="G681">
        <v>4.23910920101582</v>
      </c>
      <c r="H681" t="s">
        <v>67</v>
      </c>
      <c r="I681" t="s">
        <v>86</v>
      </c>
      <c r="J681" t="s">
        <v>87</v>
      </c>
      <c r="K681">
        <v>12</v>
      </c>
      <c r="L681">
        <v>0.89614248968360399</v>
      </c>
    </row>
    <row r="682" spans="1:12">
      <c r="A682" t="str">
        <f t="shared" si="10"/>
        <v>H103H24</v>
      </c>
      <c r="B682">
        <v>24</v>
      </c>
      <c r="C682">
        <v>35</v>
      </c>
      <c r="D682">
        <v>37.163225713475001</v>
      </c>
      <c r="E682">
        <v>761</v>
      </c>
      <c r="F682">
        <v>0.94179122850762997</v>
      </c>
      <c r="G682">
        <v>4.59921156373193</v>
      </c>
      <c r="H682" t="s">
        <v>67</v>
      </c>
      <c r="I682" t="s">
        <v>88</v>
      </c>
      <c r="J682" t="s">
        <v>89</v>
      </c>
      <c r="K682">
        <v>12</v>
      </c>
      <c r="L682">
        <v>0.91755388555953799</v>
      </c>
    </row>
    <row r="683" spans="1:12">
      <c r="A683" t="str">
        <f t="shared" si="10"/>
        <v>H202H24</v>
      </c>
      <c r="B683">
        <v>24</v>
      </c>
      <c r="C683">
        <v>188</v>
      </c>
      <c r="D683">
        <v>210.300243973996</v>
      </c>
      <c r="E683">
        <v>6770</v>
      </c>
      <c r="F683">
        <v>0.89395997097961699</v>
      </c>
      <c r="G683">
        <v>2.7769571639586399</v>
      </c>
      <c r="H683" t="s">
        <v>67</v>
      </c>
      <c r="I683" t="s">
        <v>90</v>
      </c>
      <c r="J683" t="s">
        <v>91</v>
      </c>
      <c r="K683">
        <v>12</v>
      </c>
      <c r="L683">
        <v>0.83044716266239504</v>
      </c>
    </row>
    <row r="684" spans="1:12">
      <c r="A684" t="str">
        <f t="shared" si="10"/>
        <v>H212H24</v>
      </c>
      <c r="B684">
        <v>24</v>
      </c>
      <c r="C684">
        <v>21</v>
      </c>
      <c r="D684">
        <v>20.1754433184391</v>
      </c>
      <c r="E684">
        <v>377</v>
      </c>
      <c r="F684">
        <v>1.04086932160779</v>
      </c>
      <c r="G684">
        <v>5.5702917771883298</v>
      </c>
      <c r="H684" t="s">
        <v>67</v>
      </c>
      <c r="I684" t="s">
        <v>92</v>
      </c>
      <c r="J684" t="s">
        <v>93</v>
      </c>
      <c r="K684">
        <v>12</v>
      </c>
      <c r="L684">
        <v>1.1071446266921301</v>
      </c>
    </row>
    <row r="685" spans="1:12">
      <c r="A685" t="str">
        <f t="shared" si="10"/>
        <v>L106H24</v>
      </c>
      <c r="B685">
        <v>24</v>
      </c>
      <c r="C685">
        <v>288</v>
      </c>
      <c r="D685">
        <v>331.673109516343</v>
      </c>
      <c r="E685">
        <v>7943</v>
      </c>
      <c r="F685">
        <v>0.86832484074446603</v>
      </c>
      <c r="G685">
        <v>3.62583406773259</v>
      </c>
      <c r="H685" t="s">
        <v>67</v>
      </c>
      <c r="I685" t="s">
        <v>94</v>
      </c>
      <c r="J685" t="s">
        <v>95</v>
      </c>
      <c r="K685">
        <v>12</v>
      </c>
      <c r="L685">
        <v>0.83875271099314896</v>
      </c>
    </row>
    <row r="686" spans="1:12">
      <c r="A686" t="str">
        <f t="shared" si="10"/>
        <v>L302H24</v>
      </c>
      <c r="B686">
        <v>24</v>
      </c>
      <c r="C686">
        <v>260</v>
      </c>
      <c r="D686">
        <v>301.80185006448102</v>
      </c>
      <c r="E686">
        <v>7337</v>
      </c>
      <c r="F686">
        <v>0.86149239954774903</v>
      </c>
      <c r="G686">
        <v>3.5436827041024901</v>
      </c>
      <c r="H686" t="s">
        <v>67</v>
      </c>
      <c r="I686" t="s">
        <v>96</v>
      </c>
      <c r="J686" t="s">
        <v>97</v>
      </c>
      <c r="K686">
        <v>12</v>
      </c>
      <c r="L686">
        <v>0.82477070126282104</v>
      </c>
    </row>
    <row r="687" spans="1:12">
      <c r="A687" t="str">
        <f t="shared" si="10"/>
        <v>L308H24</v>
      </c>
      <c r="B687">
        <v>24</v>
      </c>
      <c r="C687">
        <v>291</v>
      </c>
      <c r="D687">
        <v>327.36068413906202</v>
      </c>
      <c r="E687">
        <v>10598</v>
      </c>
      <c r="F687">
        <v>0.88892776102698901</v>
      </c>
      <c r="G687">
        <v>2.74580109454614</v>
      </c>
      <c r="H687" t="s">
        <v>67</v>
      </c>
      <c r="I687" t="s">
        <v>98</v>
      </c>
      <c r="J687" t="s">
        <v>99</v>
      </c>
      <c r="K687">
        <v>12</v>
      </c>
      <c r="L687">
        <v>0.85426720990583804</v>
      </c>
    </row>
    <row r="688" spans="1:12">
      <c r="A688" t="str">
        <f t="shared" si="10"/>
        <v>N101H24</v>
      </c>
      <c r="B688">
        <v>24</v>
      </c>
      <c r="C688">
        <v>409</v>
      </c>
      <c r="D688">
        <v>487.32617841908501</v>
      </c>
      <c r="E688">
        <v>13653</v>
      </c>
      <c r="F688">
        <v>0.83927360792892303</v>
      </c>
      <c r="G688">
        <v>2.9956786054347</v>
      </c>
      <c r="H688" t="s">
        <v>67</v>
      </c>
      <c r="I688" t="s">
        <v>100</v>
      </c>
      <c r="J688" t="s">
        <v>101</v>
      </c>
      <c r="K688">
        <v>12</v>
      </c>
      <c r="L688">
        <v>0.89651550413859904</v>
      </c>
    </row>
    <row r="689" spans="1:12">
      <c r="A689" t="str">
        <f t="shared" si="10"/>
        <v>N411H24</v>
      </c>
      <c r="B689">
        <v>24</v>
      </c>
      <c r="C689">
        <v>88</v>
      </c>
      <c r="D689">
        <v>86.740150252837495</v>
      </c>
      <c r="E689">
        <v>2827</v>
      </c>
      <c r="F689">
        <v>1.0145244127833599</v>
      </c>
      <c r="G689">
        <v>3.1128404669260701</v>
      </c>
      <c r="H689" t="s">
        <v>67</v>
      </c>
      <c r="I689" t="s">
        <v>102</v>
      </c>
      <c r="J689" t="s">
        <v>103</v>
      </c>
      <c r="K689">
        <v>12</v>
      </c>
      <c r="L689">
        <v>1.04207213192822</v>
      </c>
    </row>
    <row r="690" spans="1:12">
      <c r="A690" t="str">
        <f t="shared" si="10"/>
        <v>R101H24</v>
      </c>
      <c r="B690">
        <v>24</v>
      </c>
      <c r="C690">
        <v>24</v>
      </c>
      <c r="D690">
        <v>23.3464190755037</v>
      </c>
      <c r="E690">
        <v>710</v>
      </c>
      <c r="F690">
        <v>1.02799491101323</v>
      </c>
      <c r="G690">
        <v>3.3802816901408401</v>
      </c>
      <c r="H690" t="s">
        <v>67</v>
      </c>
      <c r="I690" t="s">
        <v>104</v>
      </c>
      <c r="J690" t="s">
        <v>105</v>
      </c>
      <c r="K690">
        <v>12</v>
      </c>
      <c r="L690">
        <v>0.97325581166038899</v>
      </c>
    </row>
    <row r="691" spans="1:12">
      <c r="A691" t="str">
        <f t="shared" si="10"/>
        <v>S116H24</v>
      </c>
      <c r="B691">
        <v>24</v>
      </c>
      <c r="C691">
        <v>223</v>
      </c>
      <c r="D691">
        <v>313.787970970701</v>
      </c>
      <c r="E691">
        <v>6768</v>
      </c>
      <c r="F691">
        <v>0.71067096456932699</v>
      </c>
      <c r="G691">
        <v>3.29491725768322</v>
      </c>
      <c r="H691" t="s">
        <v>67</v>
      </c>
      <c r="I691" t="s">
        <v>106</v>
      </c>
      <c r="J691" t="s">
        <v>107</v>
      </c>
      <c r="K691">
        <v>12</v>
      </c>
      <c r="L691">
        <v>0.70323972671513602</v>
      </c>
    </row>
    <row r="692" spans="1:12">
      <c r="A692" t="str">
        <f t="shared" si="10"/>
        <v>S308H24</v>
      </c>
      <c r="B692">
        <v>24</v>
      </c>
      <c r="C692">
        <v>191</v>
      </c>
      <c r="D692">
        <v>218.949316772023</v>
      </c>
      <c r="E692">
        <v>7419</v>
      </c>
      <c r="F692">
        <v>0.87234800645153698</v>
      </c>
      <c r="G692">
        <v>2.5744709529586198</v>
      </c>
      <c r="H692" t="s">
        <v>67</v>
      </c>
      <c r="I692" t="s">
        <v>108</v>
      </c>
      <c r="J692" t="s">
        <v>109</v>
      </c>
      <c r="K692">
        <v>12</v>
      </c>
      <c r="L692">
        <v>0.78781891434755902</v>
      </c>
    </row>
    <row r="693" spans="1:12">
      <c r="A693" t="str">
        <f t="shared" si="10"/>
        <v>S314H24</v>
      </c>
      <c r="B693">
        <v>24</v>
      </c>
      <c r="C693">
        <v>391</v>
      </c>
      <c r="D693">
        <v>469.80532149595001</v>
      </c>
      <c r="E693">
        <v>10673</v>
      </c>
      <c r="F693">
        <v>0.83225962352870198</v>
      </c>
      <c r="G693">
        <v>3.6634498266654201</v>
      </c>
      <c r="H693" t="s">
        <v>67</v>
      </c>
      <c r="I693" t="s">
        <v>110</v>
      </c>
      <c r="J693" t="s">
        <v>111</v>
      </c>
      <c r="K693">
        <v>12</v>
      </c>
      <c r="L693">
        <v>0.85065819532311004</v>
      </c>
    </row>
    <row r="694" spans="1:12">
      <c r="A694" t="str">
        <f t="shared" si="10"/>
        <v>T101H24</v>
      </c>
      <c r="B694">
        <v>24</v>
      </c>
      <c r="C694">
        <v>451</v>
      </c>
      <c r="D694">
        <v>504.70303586668803</v>
      </c>
      <c r="E694">
        <v>12449</v>
      </c>
      <c r="F694">
        <v>0.89359478336707898</v>
      </c>
      <c r="G694">
        <v>3.6227809462607401</v>
      </c>
      <c r="H694" t="s">
        <v>67</v>
      </c>
      <c r="I694" t="s">
        <v>112</v>
      </c>
      <c r="J694" t="s">
        <v>113</v>
      </c>
      <c r="K694">
        <v>12</v>
      </c>
      <c r="L694">
        <v>0.85474145414426095</v>
      </c>
    </row>
    <row r="695" spans="1:12">
      <c r="A695" t="str">
        <f t="shared" si="10"/>
        <v>T202H24</v>
      </c>
      <c r="B695">
        <v>24</v>
      </c>
      <c r="C695">
        <v>134</v>
      </c>
      <c r="D695">
        <v>159.71657217155999</v>
      </c>
      <c r="E695">
        <v>2852</v>
      </c>
      <c r="F695">
        <v>0.83898620023014003</v>
      </c>
      <c r="G695">
        <v>4.6984572230013999</v>
      </c>
      <c r="H695" t="s">
        <v>67</v>
      </c>
      <c r="I695" t="s">
        <v>114</v>
      </c>
      <c r="J695" t="s">
        <v>115</v>
      </c>
      <c r="K695">
        <v>12</v>
      </c>
      <c r="L695">
        <v>0.89734849902067104</v>
      </c>
    </row>
    <row r="696" spans="1:12">
      <c r="A696" t="str">
        <f t="shared" si="10"/>
        <v>T312H24</v>
      </c>
      <c r="B696">
        <v>24</v>
      </c>
      <c r="C696">
        <v>4</v>
      </c>
      <c r="D696">
        <v>3.2745096597866201</v>
      </c>
      <c r="E696">
        <v>954</v>
      </c>
      <c r="F696">
        <v>1.22155693999713</v>
      </c>
      <c r="G696">
        <v>0.41928721174004202</v>
      </c>
      <c r="H696" t="s">
        <v>67</v>
      </c>
      <c r="I696" t="s">
        <v>116</v>
      </c>
      <c r="J696" t="s">
        <v>117</v>
      </c>
      <c r="K696">
        <v>12</v>
      </c>
      <c r="L696">
        <v>0.72677365627967006</v>
      </c>
    </row>
    <row r="697" spans="1:12">
      <c r="A697" t="str">
        <f t="shared" si="10"/>
        <v>V217H24</v>
      </c>
      <c r="B697">
        <v>24</v>
      </c>
      <c r="C697">
        <v>362</v>
      </c>
      <c r="D697">
        <v>352.363508697984</v>
      </c>
      <c r="E697">
        <v>8370</v>
      </c>
      <c r="F697">
        <v>1.02734815343854</v>
      </c>
      <c r="G697">
        <v>4.3249701314217397</v>
      </c>
      <c r="H697" t="s">
        <v>67</v>
      </c>
      <c r="I697" t="s">
        <v>118</v>
      </c>
      <c r="J697" t="s">
        <v>119</v>
      </c>
      <c r="K697">
        <v>12</v>
      </c>
      <c r="L697">
        <v>0.97610073439146305</v>
      </c>
    </row>
    <row r="698" spans="1:12">
      <c r="A698" t="str">
        <f t="shared" si="10"/>
        <v>W107H24</v>
      </c>
      <c r="B698">
        <v>24</v>
      </c>
      <c r="C698">
        <v>32</v>
      </c>
      <c r="D698">
        <v>25.3309256000286</v>
      </c>
      <c r="E698">
        <v>1039</v>
      </c>
      <c r="F698">
        <v>1.2632779593322101</v>
      </c>
      <c r="G698">
        <v>3.0798845043310901</v>
      </c>
      <c r="H698" t="s">
        <v>67</v>
      </c>
      <c r="I698" t="s">
        <v>120</v>
      </c>
      <c r="J698" t="s">
        <v>121</v>
      </c>
      <c r="K698">
        <v>12</v>
      </c>
      <c r="L698">
        <v>1.0086928858078501</v>
      </c>
    </row>
    <row r="699" spans="1:12">
      <c r="A699" t="str">
        <f t="shared" si="10"/>
        <v>Z102H24</v>
      </c>
      <c r="B699">
        <v>24</v>
      </c>
      <c r="C699">
        <v>31</v>
      </c>
      <c r="D699">
        <v>21.747011201939401</v>
      </c>
      <c r="E699">
        <v>852</v>
      </c>
      <c r="F699">
        <v>1.42548324053079</v>
      </c>
      <c r="G699">
        <v>3.63849765258216</v>
      </c>
      <c r="H699" t="s">
        <v>67</v>
      </c>
      <c r="I699" t="s">
        <v>122</v>
      </c>
      <c r="J699" t="s">
        <v>123</v>
      </c>
      <c r="K699">
        <v>12</v>
      </c>
      <c r="L699">
        <v>1.0270024922838701</v>
      </c>
    </row>
    <row r="700" spans="1:12">
      <c r="A700" t="str">
        <f t="shared" si="10"/>
        <v>A111H25</v>
      </c>
      <c r="B700">
        <v>25</v>
      </c>
      <c r="C700">
        <v>315</v>
      </c>
      <c r="D700">
        <v>387.145142280436</v>
      </c>
      <c r="E700">
        <v>9984</v>
      </c>
      <c r="F700">
        <v>0.81364833391561298</v>
      </c>
      <c r="G700">
        <v>3.1550480769230802</v>
      </c>
      <c r="H700" t="s">
        <v>67</v>
      </c>
      <c r="I700" t="s">
        <v>68</v>
      </c>
      <c r="J700" t="s">
        <v>69</v>
      </c>
      <c r="K700">
        <v>13</v>
      </c>
      <c r="L700">
        <v>0.79796040133275703</v>
      </c>
    </row>
    <row r="701" spans="1:12">
      <c r="A701" t="str">
        <f t="shared" si="10"/>
        <v>A210H25</v>
      </c>
      <c r="B701">
        <v>25</v>
      </c>
      <c r="C701">
        <v>217</v>
      </c>
      <c r="D701">
        <v>266.73596084089701</v>
      </c>
      <c r="E701">
        <v>6677</v>
      </c>
      <c r="F701">
        <v>0.81353859942955598</v>
      </c>
      <c r="G701">
        <v>3.2499625580350502</v>
      </c>
      <c r="H701" t="s">
        <v>67</v>
      </c>
      <c r="I701" t="s">
        <v>70</v>
      </c>
      <c r="J701" t="s">
        <v>71</v>
      </c>
      <c r="K701">
        <v>13</v>
      </c>
      <c r="L701">
        <v>0.85718942800959697</v>
      </c>
    </row>
    <row r="702" spans="1:12">
      <c r="A702" t="str">
        <f t="shared" si="10"/>
        <v>B120H25</v>
      </c>
      <c r="B702">
        <v>25</v>
      </c>
      <c r="C702">
        <v>158</v>
      </c>
      <c r="D702">
        <v>160.80654230011501</v>
      </c>
      <c r="E702">
        <v>3923</v>
      </c>
      <c r="F702">
        <v>0.98254708881882802</v>
      </c>
      <c r="G702">
        <v>4.0275299515676801</v>
      </c>
      <c r="H702" t="s">
        <v>67</v>
      </c>
      <c r="I702" t="s">
        <v>72</v>
      </c>
      <c r="J702" t="s">
        <v>73</v>
      </c>
      <c r="K702">
        <v>13</v>
      </c>
      <c r="L702">
        <v>0.93747276023042203</v>
      </c>
    </row>
    <row r="703" spans="1:12">
      <c r="A703" t="str">
        <f t="shared" si="10"/>
        <v>C121H25</v>
      </c>
      <c r="B703">
        <v>25</v>
      </c>
      <c r="C703">
        <v>16</v>
      </c>
      <c r="D703">
        <v>24.698844521332202</v>
      </c>
      <c r="E703">
        <v>556</v>
      </c>
      <c r="F703">
        <v>0.64780358393612103</v>
      </c>
      <c r="G703">
        <v>2.8776978417266199</v>
      </c>
      <c r="H703" t="s">
        <v>67</v>
      </c>
      <c r="I703" t="s">
        <v>74</v>
      </c>
      <c r="J703" t="s">
        <v>75</v>
      </c>
      <c r="K703">
        <v>13</v>
      </c>
      <c r="L703">
        <v>1.0539071440291301</v>
      </c>
    </row>
    <row r="704" spans="1:12">
      <c r="A704" t="str">
        <f t="shared" ref="A704:A767" si="11">CONCATENATE(I704, B704)</f>
        <v>C313H25</v>
      </c>
      <c r="B704">
        <v>25</v>
      </c>
      <c r="C704">
        <v>144</v>
      </c>
      <c r="D704">
        <v>148.40090945078899</v>
      </c>
      <c r="E704">
        <v>4558</v>
      </c>
      <c r="F704">
        <v>0.97034445767835398</v>
      </c>
      <c r="G704">
        <v>3.1592803861342702</v>
      </c>
      <c r="H704" t="s">
        <v>67</v>
      </c>
      <c r="I704" t="s">
        <v>76</v>
      </c>
      <c r="J704" t="s">
        <v>77</v>
      </c>
      <c r="K704">
        <v>13</v>
      </c>
      <c r="L704">
        <v>0.94849936469173002</v>
      </c>
    </row>
    <row r="705" spans="1:12">
      <c r="A705" t="str">
        <f t="shared" si="11"/>
        <v>C418H25</v>
      </c>
      <c r="B705">
        <v>25</v>
      </c>
      <c r="C705">
        <v>331</v>
      </c>
      <c r="D705">
        <v>317.15038696720001</v>
      </c>
      <c r="E705">
        <v>10107</v>
      </c>
      <c r="F705">
        <v>1.04366891418686</v>
      </c>
      <c r="G705">
        <v>3.2749579499356898</v>
      </c>
      <c r="H705" t="s">
        <v>67</v>
      </c>
      <c r="I705" t="s">
        <v>78</v>
      </c>
      <c r="J705" t="s">
        <v>79</v>
      </c>
      <c r="K705">
        <v>13</v>
      </c>
      <c r="L705">
        <v>1.02126037254638</v>
      </c>
    </row>
    <row r="706" spans="1:12">
      <c r="A706" t="str">
        <f t="shared" si="11"/>
        <v>D102H25</v>
      </c>
      <c r="B706">
        <v>25</v>
      </c>
      <c r="C706">
        <v>26</v>
      </c>
      <c r="D706">
        <v>27.9428351596362</v>
      </c>
      <c r="E706">
        <v>5123</v>
      </c>
      <c r="F706">
        <v>0.93047107966901499</v>
      </c>
      <c r="G706">
        <v>0.50751512785477304</v>
      </c>
      <c r="H706" t="s">
        <v>67</v>
      </c>
      <c r="I706" t="s">
        <v>80</v>
      </c>
      <c r="J706" t="s">
        <v>81</v>
      </c>
      <c r="K706">
        <v>13</v>
      </c>
      <c r="L706">
        <v>0.94198740503032996</v>
      </c>
    </row>
    <row r="707" spans="1:12">
      <c r="A707" t="str">
        <f t="shared" si="11"/>
        <v>F704H25</v>
      </c>
      <c r="B707">
        <v>25</v>
      </c>
      <c r="C707">
        <v>450</v>
      </c>
      <c r="D707">
        <v>445.43081164945102</v>
      </c>
      <c r="E707">
        <v>8571</v>
      </c>
      <c r="F707">
        <v>1.0102579081443199</v>
      </c>
      <c r="G707">
        <v>5.2502625131256604</v>
      </c>
      <c r="H707" t="s">
        <v>67</v>
      </c>
      <c r="I707" t="s">
        <v>82</v>
      </c>
      <c r="J707" t="s">
        <v>83</v>
      </c>
      <c r="K707">
        <v>13</v>
      </c>
      <c r="L707">
        <v>0.89891274466585902</v>
      </c>
    </row>
    <row r="708" spans="1:12">
      <c r="A708" t="str">
        <f t="shared" si="11"/>
        <v>G107H25</v>
      </c>
      <c r="B708">
        <v>25</v>
      </c>
      <c r="C708">
        <v>411</v>
      </c>
      <c r="D708">
        <v>452.097287453619</v>
      </c>
      <c r="E708">
        <v>12589</v>
      </c>
      <c r="F708">
        <v>0.90909636356127099</v>
      </c>
      <c r="G708">
        <v>3.2647549447930699</v>
      </c>
      <c r="H708" t="s">
        <v>67</v>
      </c>
      <c r="I708" t="s">
        <v>84</v>
      </c>
      <c r="J708" t="s">
        <v>85</v>
      </c>
      <c r="K708">
        <v>13</v>
      </c>
      <c r="L708">
        <v>0.90132692398845404</v>
      </c>
    </row>
    <row r="709" spans="1:12">
      <c r="A709" t="str">
        <f t="shared" si="11"/>
        <v>G405H25</v>
      </c>
      <c r="B709">
        <v>25</v>
      </c>
      <c r="C709">
        <v>701</v>
      </c>
      <c r="D709">
        <v>736.57119644910995</v>
      </c>
      <c r="E709">
        <v>15111</v>
      </c>
      <c r="F709">
        <v>0.95170704933807804</v>
      </c>
      <c r="G709">
        <v>4.6390046985639604</v>
      </c>
      <c r="H709" t="s">
        <v>67</v>
      </c>
      <c r="I709" t="s">
        <v>86</v>
      </c>
      <c r="J709" t="s">
        <v>87</v>
      </c>
      <c r="K709">
        <v>13</v>
      </c>
      <c r="L709">
        <v>0.89619963026622096</v>
      </c>
    </row>
    <row r="710" spans="1:12">
      <c r="A710" t="str">
        <f t="shared" si="11"/>
        <v>H103H25</v>
      </c>
      <c r="B710">
        <v>25</v>
      </c>
      <c r="C710">
        <v>39</v>
      </c>
      <c r="D710">
        <v>28.870710484265501</v>
      </c>
      <c r="E710">
        <v>757</v>
      </c>
      <c r="F710">
        <v>1.35085002571222</v>
      </c>
      <c r="G710">
        <v>5.1519154557463702</v>
      </c>
      <c r="H710" t="s">
        <v>67</v>
      </c>
      <c r="I710" t="s">
        <v>88</v>
      </c>
      <c r="J710" t="s">
        <v>89</v>
      </c>
      <c r="K710">
        <v>13</v>
      </c>
      <c r="L710">
        <v>0.91108062653173305</v>
      </c>
    </row>
    <row r="711" spans="1:12">
      <c r="A711" t="str">
        <f t="shared" si="11"/>
        <v>H202H25</v>
      </c>
      <c r="B711">
        <v>25</v>
      </c>
      <c r="C711">
        <v>182</v>
      </c>
      <c r="D711">
        <v>221.70985944649101</v>
      </c>
      <c r="E711">
        <v>6793</v>
      </c>
      <c r="F711">
        <v>0.82089267682714395</v>
      </c>
      <c r="G711">
        <v>2.6792286176946898</v>
      </c>
      <c r="H711" t="s">
        <v>67</v>
      </c>
      <c r="I711" t="s">
        <v>90</v>
      </c>
      <c r="J711" t="s">
        <v>91</v>
      </c>
      <c r="K711">
        <v>13</v>
      </c>
      <c r="L711">
        <v>0.83390771403538999</v>
      </c>
    </row>
    <row r="712" spans="1:12">
      <c r="A712" t="str">
        <f t="shared" si="11"/>
        <v>H212H25</v>
      </c>
      <c r="B712">
        <v>25</v>
      </c>
      <c r="C712">
        <v>24</v>
      </c>
      <c r="D712">
        <v>26.5137696543418</v>
      </c>
      <c r="E712">
        <v>396</v>
      </c>
      <c r="F712">
        <v>0.90519003193006398</v>
      </c>
      <c r="G712">
        <v>6.0606060606060597</v>
      </c>
      <c r="H712" t="s">
        <v>67</v>
      </c>
      <c r="I712" t="s">
        <v>92</v>
      </c>
      <c r="J712" t="s">
        <v>93</v>
      </c>
      <c r="K712">
        <v>13</v>
      </c>
      <c r="L712">
        <v>1.1080569400831599</v>
      </c>
    </row>
    <row r="713" spans="1:12">
      <c r="A713" t="str">
        <f t="shared" si="11"/>
        <v>L106H25</v>
      </c>
      <c r="B713">
        <v>25</v>
      </c>
      <c r="C713">
        <v>286</v>
      </c>
      <c r="D713">
        <v>328.77120284849798</v>
      </c>
      <c r="E713">
        <v>8105</v>
      </c>
      <c r="F713">
        <v>0.86990587229682803</v>
      </c>
      <c r="G713">
        <v>3.5286859962985799</v>
      </c>
      <c r="H713" t="s">
        <v>67</v>
      </c>
      <c r="I713" t="s">
        <v>94</v>
      </c>
      <c r="J713" t="s">
        <v>95</v>
      </c>
      <c r="K713">
        <v>13</v>
      </c>
      <c r="L713">
        <v>0.82905098979298297</v>
      </c>
    </row>
    <row r="714" spans="1:12">
      <c r="A714" t="str">
        <f t="shared" si="11"/>
        <v>L302H25</v>
      </c>
      <c r="B714">
        <v>25</v>
      </c>
      <c r="C714">
        <v>278</v>
      </c>
      <c r="D714">
        <v>315.39553156560299</v>
      </c>
      <c r="E714">
        <v>7612</v>
      </c>
      <c r="F714">
        <v>0.88143290623055304</v>
      </c>
      <c r="G714">
        <v>3.6521282186022099</v>
      </c>
      <c r="H714" t="s">
        <v>67</v>
      </c>
      <c r="I714" t="s">
        <v>96</v>
      </c>
      <c r="J714" t="s">
        <v>97</v>
      </c>
      <c r="K714">
        <v>13</v>
      </c>
      <c r="L714">
        <v>0.81577199775225595</v>
      </c>
    </row>
    <row r="715" spans="1:12">
      <c r="A715" t="str">
        <f t="shared" si="11"/>
        <v>L308H25</v>
      </c>
      <c r="B715">
        <v>25</v>
      </c>
      <c r="C715">
        <v>297</v>
      </c>
      <c r="D715">
        <v>340.18851206962199</v>
      </c>
      <c r="E715">
        <v>10318</v>
      </c>
      <c r="F715">
        <v>0.87304535415710105</v>
      </c>
      <c r="G715">
        <v>2.8784648187633302</v>
      </c>
      <c r="H715" t="s">
        <v>67</v>
      </c>
      <c r="I715" t="s">
        <v>98</v>
      </c>
      <c r="J715" t="s">
        <v>99</v>
      </c>
      <c r="K715">
        <v>13</v>
      </c>
      <c r="L715">
        <v>0.83521671674349895</v>
      </c>
    </row>
    <row r="716" spans="1:12">
      <c r="A716" t="str">
        <f t="shared" si="11"/>
        <v>N101H25</v>
      </c>
      <c r="B716">
        <v>25</v>
      </c>
      <c r="C716">
        <v>454</v>
      </c>
      <c r="D716">
        <v>491.97539962013599</v>
      </c>
      <c r="E716">
        <v>13153</v>
      </c>
      <c r="F716">
        <v>0.922810368873205</v>
      </c>
      <c r="G716">
        <v>3.4516840264578401</v>
      </c>
      <c r="H716" t="s">
        <v>67</v>
      </c>
      <c r="I716" t="s">
        <v>100</v>
      </c>
      <c r="J716" t="s">
        <v>101</v>
      </c>
      <c r="K716">
        <v>13</v>
      </c>
      <c r="L716">
        <v>0.89534192462543105</v>
      </c>
    </row>
    <row r="717" spans="1:12">
      <c r="A717" t="str">
        <f t="shared" si="11"/>
        <v>N411H25</v>
      </c>
      <c r="B717">
        <v>25</v>
      </c>
      <c r="C717">
        <v>93</v>
      </c>
      <c r="D717">
        <v>92.471546151788104</v>
      </c>
      <c r="E717">
        <v>2893</v>
      </c>
      <c r="F717">
        <v>1.0057147724916899</v>
      </c>
      <c r="G717">
        <v>3.2146560663670898</v>
      </c>
      <c r="H717" t="s">
        <v>67</v>
      </c>
      <c r="I717" t="s">
        <v>102</v>
      </c>
      <c r="J717" t="s">
        <v>103</v>
      </c>
      <c r="K717">
        <v>13</v>
      </c>
      <c r="L717">
        <v>1.0402877014409699</v>
      </c>
    </row>
    <row r="718" spans="1:12">
      <c r="A718" t="str">
        <f t="shared" si="11"/>
        <v>R101H25</v>
      </c>
      <c r="B718">
        <v>25</v>
      </c>
      <c r="C718">
        <v>38</v>
      </c>
      <c r="D718">
        <v>32.630403038832803</v>
      </c>
      <c r="E718">
        <v>721</v>
      </c>
      <c r="F718">
        <v>1.1645580949391601</v>
      </c>
      <c r="G718">
        <v>5.2704576976421604</v>
      </c>
      <c r="H718" t="s">
        <v>67</v>
      </c>
      <c r="I718" t="s">
        <v>104</v>
      </c>
      <c r="J718" t="s">
        <v>105</v>
      </c>
      <c r="K718">
        <v>13</v>
      </c>
      <c r="L718">
        <v>0.95165618766041005</v>
      </c>
    </row>
    <row r="719" spans="1:12">
      <c r="A719" t="str">
        <f t="shared" si="11"/>
        <v>S116H25</v>
      </c>
      <c r="B719">
        <v>25</v>
      </c>
      <c r="C719">
        <v>246</v>
      </c>
      <c r="D719">
        <v>331.14656469909801</v>
      </c>
      <c r="E719">
        <v>6830</v>
      </c>
      <c r="F719">
        <v>0.74287347725781905</v>
      </c>
      <c r="G719">
        <v>3.6017569546120098</v>
      </c>
      <c r="H719" t="s">
        <v>67</v>
      </c>
      <c r="I719" t="s">
        <v>106</v>
      </c>
      <c r="J719" t="s">
        <v>107</v>
      </c>
      <c r="K719">
        <v>13</v>
      </c>
      <c r="L719">
        <v>0.69845348558832498</v>
      </c>
    </row>
    <row r="720" spans="1:12">
      <c r="A720" t="str">
        <f t="shared" si="11"/>
        <v>S308H25</v>
      </c>
      <c r="B720">
        <v>25</v>
      </c>
      <c r="C720">
        <v>165</v>
      </c>
      <c r="D720">
        <v>200.51221602335599</v>
      </c>
      <c r="E720">
        <v>7173</v>
      </c>
      <c r="F720">
        <v>0.82289250636370304</v>
      </c>
      <c r="G720">
        <v>2.3002927645336699</v>
      </c>
      <c r="H720" t="s">
        <v>67</v>
      </c>
      <c r="I720" t="s">
        <v>108</v>
      </c>
      <c r="J720" t="s">
        <v>109</v>
      </c>
      <c r="K720">
        <v>13</v>
      </c>
      <c r="L720">
        <v>0.78181533042472795</v>
      </c>
    </row>
    <row r="721" spans="1:12">
      <c r="A721" t="str">
        <f t="shared" si="11"/>
        <v>S314H25</v>
      </c>
      <c r="B721">
        <v>25</v>
      </c>
      <c r="C721">
        <v>399</v>
      </c>
      <c r="D721">
        <v>476.85338403841803</v>
      </c>
      <c r="E721">
        <v>11013</v>
      </c>
      <c r="F721">
        <v>0.83673517553952004</v>
      </c>
      <c r="G721">
        <v>3.6229910106238101</v>
      </c>
      <c r="H721" t="s">
        <v>67</v>
      </c>
      <c r="I721" t="s">
        <v>110</v>
      </c>
      <c r="J721" t="s">
        <v>111</v>
      </c>
      <c r="K721">
        <v>13</v>
      </c>
      <c r="L721">
        <v>0.84980480437356498</v>
      </c>
    </row>
    <row r="722" spans="1:12">
      <c r="A722" t="str">
        <f t="shared" si="11"/>
        <v>T101H25</v>
      </c>
      <c r="B722">
        <v>25</v>
      </c>
      <c r="C722">
        <v>392</v>
      </c>
      <c r="D722">
        <v>474.47864228979199</v>
      </c>
      <c r="E722">
        <v>12023</v>
      </c>
      <c r="F722">
        <v>0.82616995805805504</v>
      </c>
      <c r="G722">
        <v>3.2604175330616298</v>
      </c>
      <c r="H722" t="s">
        <v>67</v>
      </c>
      <c r="I722" t="s">
        <v>112</v>
      </c>
      <c r="J722" t="s">
        <v>113</v>
      </c>
      <c r="K722">
        <v>13</v>
      </c>
      <c r="L722">
        <v>0.84956011394175601</v>
      </c>
    </row>
    <row r="723" spans="1:12">
      <c r="A723" t="str">
        <f t="shared" si="11"/>
        <v>T202H25</v>
      </c>
      <c r="B723">
        <v>25</v>
      </c>
      <c r="C723">
        <v>143</v>
      </c>
      <c r="D723">
        <v>158.30867148067</v>
      </c>
      <c r="E723">
        <v>2895</v>
      </c>
      <c r="F723">
        <v>0.90329859168492199</v>
      </c>
      <c r="G723">
        <v>4.9395509499136399</v>
      </c>
      <c r="H723" t="s">
        <v>67</v>
      </c>
      <c r="I723" t="s">
        <v>114</v>
      </c>
      <c r="J723" t="s">
        <v>115</v>
      </c>
      <c r="K723">
        <v>13</v>
      </c>
      <c r="L723">
        <v>0.89775741909929196</v>
      </c>
    </row>
    <row r="724" spans="1:12">
      <c r="A724" t="str">
        <f t="shared" si="11"/>
        <v>T312H25</v>
      </c>
      <c r="B724">
        <v>25</v>
      </c>
      <c r="C724">
        <v>1</v>
      </c>
      <c r="D724">
        <v>3.1359151077725298</v>
      </c>
      <c r="E724">
        <v>1129</v>
      </c>
      <c r="F724">
        <v>0.31888618334133101</v>
      </c>
      <c r="G724">
        <v>8.8573959255978704E-2</v>
      </c>
      <c r="H724" t="s">
        <v>67</v>
      </c>
      <c r="I724" t="s">
        <v>116</v>
      </c>
      <c r="J724" t="s">
        <v>117</v>
      </c>
      <c r="K724">
        <v>13</v>
      </c>
      <c r="L724">
        <v>0.73498876570388805</v>
      </c>
    </row>
    <row r="725" spans="1:12">
      <c r="A725" t="str">
        <f t="shared" si="11"/>
        <v>V217H25</v>
      </c>
      <c r="B725">
        <v>25</v>
      </c>
      <c r="C725">
        <v>301</v>
      </c>
      <c r="D725">
        <v>345.79931546597601</v>
      </c>
      <c r="E725">
        <v>8670</v>
      </c>
      <c r="F725">
        <v>0.87044706723722898</v>
      </c>
      <c r="G725">
        <v>3.4717416378316002</v>
      </c>
      <c r="H725" t="s">
        <v>67</v>
      </c>
      <c r="I725" t="s">
        <v>118</v>
      </c>
      <c r="J725" t="s">
        <v>119</v>
      </c>
      <c r="K725">
        <v>13</v>
      </c>
      <c r="L725">
        <v>0.97633493971584795</v>
      </c>
    </row>
    <row r="726" spans="1:12">
      <c r="A726" t="str">
        <f t="shared" si="11"/>
        <v>W107H25</v>
      </c>
      <c r="B726">
        <v>25</v>
      </c>
      <c r="C726">
        <v>22</v>
      </c>
      <c r="D726">
        <v>21.437055691835099</v>
      </c>
      <c r="E726">
        <v>1065</v>
      </c>
      <c r="F726">
        <v>1.0262603370657499</v>
      </c>
      <c r="G726">
        <v>2.06572769953052</v>
      </c>
      <c r="H726" t="s">
        <v>67</v>
      </c>
      <c r="I726" t="s">
        <v>120</v>
      </c>
      <c r="J726" t="s">
        <v>121</v>
      </c>
      <c r="K726">
        <v>13</v>
      </c>
      <c r="L726">
        <v>0.99063089299656704</v>
      </c>
    </row>
    <row r="727" spans="1:12">
      <c r="A727" t="str">
        <f t="shared" si="11"/>
        <v>Z102H25</v>
      </c>
      <c r="B727">
        <v>25</v>
      </c>
      <c r="C727">
        <v>19</v>
      </c>
      <c r="D727">
        <v>18.401009991789</v>
      </c>
      <c r="E727">
        <v>895</v>
      </c>
      <c r="F727">
        <v>1.03255201798587</v>
      </c>
      <c r="G727">
        <v>2.1229050279329602</v>
      </c>
      <c r="H727" t="s">
        <v>67</v>
      </c>
      <c r="I727" t="s">
        <v>122</v>
      </c>
      <c r="J727" t="s">
        <v>123</v>
      </c>
      <c r="K727">
        <v>13</v>
      </c>
      <c r="L727">
        <v>1.0273154181695501</v>
      </c>
    </row>
    <row r="728" spans="1:12">
      <c r="A728" t="str">
        <f t="shared" si="11"/>
        <v>A111H26</v>
      </c>
      <c r="B728">
        <v>26</v>
      </c>
      <c r="C728">
        <v>265</v>
      </c>
      <c r="D728">
        <v>356.47549975202901</v>
      </c>
      <c r="E728">
        <v>9824</v>
      </c>
      <c r="F728">
        <v>0.74338909738351899</v>
      </c>
      <c r="G728">
        <v>2.6974755700325699</v>
      </c>
      <c r="H728" t="s">
        <v>67</v>
      </c>
      <c r="I728" t="s">
        <v>68</v>
      </c>
      <c r="J728" t="s">
        <v>69</v>
      </c>
      <c r="K728">
        <v>14</v>
      </c>
      <c r="L728">
        <v>0.78937683211404297</v>
      </c>
    </row>
    <row r="729" spans="1:12">
      <c r="A729" t="str">
        <f t="shared" si="11"/>
        <v>A210H26</v>
      </c>
      <c r="B729">
        <v>26</v>
      </c>
      <c r="C729">
        <v>178</v>
      </c>
      <c r="D729">
        <v>233.37222877446999</v>
      </c>
      <c r="E729">
        <v>6371</v>
      </c>
      <c r="F729">
        <v>0.76272999977224598</v>
      </c>
      <c r="G729">
        <v>2.7939099042536499</v>
      </c>
      <c r="H729" t="s">
        <v>67</v>
      </c>
      <c r="I729" t="s">
        <v>70</v>
      </c>
      <c r="J729" t="s">
        <v>71</v>
      </c>
      <c r="K729">
        <v>14</v>
      </c>
      <c r="L729">
        <v>0.84864863497527898</v>
      </c>
    </row>
    <row r="730" spans="1:12">
      <c r="A730" t="str">
        <f t="shared" si="11"/>
        <v>B120H26</v>
      </c>
      <c r="B730">
        <v>26</v>
      </c>
      <c r="C730">
        <v>147</v>
      </c>
      <c r="D730">
        <v>163.91135011315799</v>
      </c>
      <c r="E730">
        <v>4043</v>
      </c>
      <c r="F730">
        <v>0.89682624112678699</v>
      </c>
      <c r="G730">
        <v>3.6359139253029902</v>
      </c>
      <c r="H730" t="s">
        <v>67</v>
      </c>
      <c r="I730" t="s">
        <v>72</v>
      </c>
      <c r="J730" t="s">
        <v>73</v>
      </c>
      <c r="K730">
        <v>14</v>
      </c>
      <c r="L730">
        <v>0.93768486489630298</v>
      </c>
    </row>
    <row r="731" spans="1:12">
      <c r="A731" t="str">
        <f t="shared" si="11"/>
        <v>C121H26</v>
      </c>
      <c r="B731">
        <v>26</v>
      </c>
      <c r="C731">
        <v>17</v>
      </c>
      <c r="D731">
        <v>23.544597237064899</v>
      </c>
      <c r="E731">
        <v>511</v>
      </c>
      <c r="F731">
        <v>0.72203401183002003</v>
      </c>
      <c r="G731">
        <v>3.3268101761252402</v>
      </c>
      <c r="H731" t="s">
        <v>67</v>
      </c>
      <c r="I731" t="s">
        <v>74</v>
      </c>
      <c r="J731" t="s">
        <v>75</v>
      </c>
      <c r="K731">
        <v>14</v>
      </c>
      <c r="L731">
        <v>1.05086393005274</v>
      </c>
    </row>
    <row r="732" spans="1:12">
      <c r="A732" t="str">
        <f t="shared" si="11"/>
        <v>C313H26</v>
      </c>
      <c r="B732">
        <v>26</v>
      </c>
      <c r="C732">
        <v>142</v>
      </c>
      <c r="D732">
        <v>146.60868022671099</v>
      </c>
      <c r="E732">
        <v>4466</v>
      </c>
      <c r="F732">
        <v>0.96856475196704706</v>
      </c>
      <c r="G732">
        <v>3.1795790416480099</v>
      </c>
      <c r="H732" t="s">
        <v>67</v>
      </c>
      <c r="I732" t="s">
        <v>76</v>
      </c>
      <c r="J732" t="s">
        <v>77</v>
      </c>
      <c r="K732">
        <v>14</v>
      </c>
      <c r="L732">
        <v>0.93501343975974904</v>
      </c>
    </row>
    <row r="733" spans="1:12">
      <c r="A733" t="str">
        <f t="shared" si="11"/>
        <v>C418H26</v>
      </c>
      <c r="B733">
        <v>26</v>
      </c>
      <c r="C733">
        <v>298</v>
      </c>
      <c r="D733">
        <v>290.06976312259701</v>
      </c>
      <c r="E733">
        <v>9087</v>
      </c>
      <c r="F733">
        <v>1.0273390676506</v>
      </c>
      <c r="G733">
        <v>3.2794101463629399</v>
      </c>
      <c r="H733" t="s">
        <v>67</v>
      </c>
      <c r="I733" t="s">
        <v>78</v>
      </c>
      <c r="J733" t="s">
        <v>79</v>
      </c>
      <c r="K733">
        <v>14</v>
      </c>
      <c r="L733">
        <v>1.0168184562663201</v>
      </c>
    </row>
    <row r="734" spans="1:12">
      <c r="A734" t="str">
        <f t="shared" si="11"/>
        <v>D102H26</v>
      </c>
      <c r="B734">
        <v>26</v>
      </c>
      <c r="C734">
        <v>28</v>
      </c>
      <c r="D734">
        <v>25.5128330924937</v>
      </c>
      <c r="E734">
        <v>5000</v>
      </c>
      <c r="F734">
        <v>1.09748689604519</v>
      </c>
      <c r="G734">
        <v>0.56000000000000005</v>
      </c>
      <c r="H734" t="s">
        <v>67</v>
      </c>
      <c r="I734" t="s">
        <v>80</v>
      </c>
      <c r="J734" t="s">
        <v>81</v>
      </c>
      <c r="K734">
        <v>14</v>
      </c>
      <c r="L734">
        <v>0.95176745762208703</v>
      </c>
    </row>
    <row r="735" spans="1:12">
      <c r="A735" t="str">
        <f t="shared" si="11"/>
        <v>F704H26</v>
      </c>
      <c r="B735">
        <v>26</v>
      </c>
      <c r="C735">
        <v>393</v>
      </c>
      <c r="D735">
        <v>441.685166487061</v>
      </c>
      <c r="E735">
        <v>9258</v>
      </c>
      <c r="F735">
        <v>0.889774051335529</v>
      </c>
      <c r="G735">
        <v>4.2449773169150999</v>
      </c>
      <c r="H735" t="s">
        <v>67</v>
      </c>
      <c r="I735" t="s">
        <v>82</v>
      </c>
      <c r="J735" t="s">
        <v>83</v>
      </c>
      <c r="K735">
        <v>14</v>
      </c>
      <c r="L735">
        <v>0.89836881028778304</v>
      </c>
    </row>
    <row r="736" spans="1:12">
      <c r="A736" t="str">
        <f t="shared" si="11"/>
        <v>G107H26</v>
      </c>
      <c r="B736">
        <v>26</v>
      </c>
      <c r="C736">
        <v>415</v>
      </c>
      <c r="D736">
        <v>448.32104654465502</v>
      </c>
      <c r="E736">
        <v>12184</v>
      </c>
      <c r="F736">
        <v>0.925675926210759</v>
      </c>
      <c r="G736">
        <v>3.40610636900854</v>
      </c>
      <c r="H736" t="s">
        <v>67</v>
      </c>
      <c r="I736" t="s">
        <v>84</v>
      </c>
      <c r="J736" t="s">
        <v>85</v>
      </c>
      <c r="K736">
        <v>14</v>
      </c>
      <c r="L736">
        <v>0.89640715821443495</v>
      </c>
    </row>
    <row r="737" spans="1:12">
      <c r="A737" t="str">
        <f t="shared" si="11"/>
        <v>G405H26</v>
      </c>
      <c r="B737">
        <v>26</v>
      </c>
      <c r="C737">
        <v>576</v>
      </c>
      <c r="D737">
        <v>717.23639173704805</v>
      </c>
      <c r="E737">
        <v>14956</v>
      </c>
      <c r="F737">
        <v>0.80308250757467403</v>
      </c>
      <c r="G737">
        <v>3.8512971382722698</v>
      </c>
      <c r="H737" t="s">
        <v>67</v>
      </c>
      <c r="I737" t="s">
        <v>86</v>
      </c>
      <c r="J737" t="s">
        <v>87</v>
      </c>
      <c r="K737">
        <v>14</v>
      </c>
      <c r="L737">
        <v>0.89625677084883904</v>
      </c>
    </row>
    <row r="738" spans="1:12">
      <c r="A738" t="str">
        <f t="shared" si="11"/>
        <v>H103H26</v>
      </c>
      <c r="B738">
        <v>26</v>
      </c>
      <c r="C738">
        <v>29</v>
      </c>
      <c r="D738">
        <v>32.490000319512497</v>
      </c>
      <c r="E738">
        <v>746</v>
      </c>
      <c r="F738">
        <v>0.89258232424773198</v>
      </c>
      <c r="G738">
        <v>3.88739946380697</v>
      </c>
      <c r="H738" t="s">
        <v>67</v>
      </c>
      <c r="I738" t="s">
        <v>88</v>
      </c>
      <c r="J738" t="s">
        <v>89</v>
      </c>
      <c r="K738">
        <v>14</v>
      </c>
      <c r="L738">
        <v>0.90460736750392701</v>
      </c>
    </row>
    <row r="739" spans="1:12">
      <c r="A739" t="str">
        <f t="shared" si="11"/>
        <v>H202H26</v>
      </c>
      <c r="B739">
        <v>26</v>
      </c>
      <c r="C739">
        <v>161</v>
      </c>
      <c r="D739">
        <v>220.014809930105</v>
      </c>
      <c r="E739">
        <v>6796</v>
      </c>
      <c r="F739">
        <v>0.73176892069741695</v>
      </c>
      <c r="G739">
        <v>2.3690406121247798</v>
      </c>
      <c r="H739" t="s">
        <v>67</v>
      </c>
      <c r="I739" t="s">
        <v>90</v>
      </c>
      <c r="J739" t="s">
        <v>91</v>
      </c>
      <c r="K739">
        <v>14</v>
      </c>
      <c r="L739">
        <v>0.83736826540838505</v>
      </c>
    </row>
    <row r="740" spans="1:12">
      <c r="A740" t="str">
        <f t="shared" si="11"/>
        <v>H212H26</v>
      </c>
      <c r="B740">
        <v>26</v>
      </c>
      <c r="C740">
        <v>21</v>
      </c>
      <c r="D740">
        <v>20.369327402065601</v>
      </c>
      <c r="E740">
        <v>363</v>
      </c>
      <c r="F740">
        <v>1.0309618764275199</v>
      </c>
      <c r="G740">
        <v>5.7851239669421499</v>
      </c>
      <c r="H740" t="s">
        <v>67</v>
      </c>
      <c r="I740" t="s">
        <v>92</v>
      </c>
      <c r="J740" t="s">
        <v>93</v>
      </c>
      <c r="K740">
        <v>14</v>
      </c>
      <c r="L740">
        <v>1.10896925347418</v>
      </c>
    </row>
    <row r="741" spans="1:12">
      <c r="A741" t="str">
        <f t="shared" si="11"/>
        <v>L106H26</v>
      </c>
      <c r="B741">
        <v>26</v>
      </c>
      <c r="C741">
        <v>228</v>
      </c>
      <c r="D741">
        <v>297.818851852649</v>
      </c>
      <c r="E741">
        <v>7879</v>
      </c>
      <c r="F741">
        <v>0.76556604318925603</v>
      </c>
      <c r="G741">
        <v>2.8937682447010999</v>
      </c>
      <c r="H741" t="s">
        <v>67</v>
      </c>
      <c r="I741" t="s">
        <v>94</v>
      </c>
      <c r="J741" t="s">
        <v>95</v>
      </c>
      <c r="K741">
        <v>14</v>
      </c>
      <c r="L741">
        <v>0.81934926859281798</v>
      </c>
    </row>
    <row r="742" spans="1:12">
      <c r="A742" t="str">
        <f t="shared" si="11"/>
        <v>L302H26</v>
      </c>
      <c r="B742">
        <v>26</v>
      </c>
      <c r="C742">
        <v>257</v>
      </c>
      <c r="D742">
        <v>302.32282941419902</v>
      </c>
      <c r="E742">
        <v>7467</v>
      </c>
      <c r="F742">
        <v>0.85008466114841696</v>
      </c>
      <c r="G742">
        <v>3.4418106334538598</v>
      </c>
      <c r="H742" t="s">
        <v>67</v>
      </c>
      <c r="I742" t="s">
        <v>96</v>
      </c>
      <c r="J742" t="s">
        <v>97</v>
      </c>
      <c r="K742">
        <v>14</v>
      </c>
      <c r="L742">
        <v>0.80677329424168998</v>
      </c>
    </row>
    <row r="743" spans="1:12">
      <c r="A743" t="str">
        <f t="shared" si="11"/>
        <v>L308H26</v>
      </c>
      <c r="B743">
        <v>26</v>
      </c>
      <c r="C743">
        <v>250</v>
      </c>
      <c r="D743">
        <v>323.40274627400998</v>
      </c>
      <c r="E743">
        <v>10613</v>
      </c>
      <c r="F743">
        <v>0.77302992284481797</v>
      </c>
      <c r="G743">
        <v>2.3556016206539101</v>
      </c>
      <c r="H743" t="s">
        <v>67</v>
      </c>
      <c r="I743" t="s">
        <v>98</v>
      </c>
      <c r="J743" t="s">
        <v>99</v>
      </c>
      <c r="K743">
        <v>14</v>
      </c>
      <c r="L743">
        <v>0.81616622358115898</v>
      </c>
    </row>
    <row r="744" spans="1:12">
      <c r="A744" t="str">
        <f t="shared" si="11"/>
        <v>N101H26</v>
      </c>
      <c r="B744">
        <v>26</v>
      </c>
      <c r="C744">
        <v>395</v>
      </c>
      <c r="D744">
        <v>461.98004757618401</v>
      </c>
      <c r="E744">
        <v>12995</v>
      </c>
      <c r="F744">
        <v>0.85501528057845799</v>
      </c>
      <c r="G744">
        <v>3.0396306271642901</v>
      </c>
      <c r="H744" t="s">
        <v>67</v>
      </c>
      <c r="I744" t="s">
        <v>100</v>
      </c>
      <c r="J744" t="s">
        <v>101</v>
      </c>
      <c r="K744">
        <v>14</v>
      </c>
      <c r="L744">
        <v>0.89416834511226395</v>
      </c>
    </row>
    <row r="745" spans="1:12">
      <c r="A745" t="str">
        <f t="shared" si="11"/>
        <v>N411H26</v>
      </c>
      <c r="B745">
        <v>26</v>
      </c>
      <c r="C745">
        <v>79</v>
      </c>
      <c r="D745">
        <v>84.418689015102998</v>
      </c>
      <c r="E745">
        <v>3012</v>
      </c>
      <c r="F745">
        <v>0.93581173697054698</v>
      </c>
      <c r="G745">
        <v>2.6228419654714501</v>
      </c>
      <c r="H745" t="s">
        <v>67</v>
      </c>
      <c r="I745" t="s">
        <v>102</v>
      </c>
      <c r="J745" t="s">
        <v>103</v>
      </c>
      <c r="K745">
        <v>14</v>
      </c>
      <c r="L745">
        <v>1.0385032709537101</v>
      </c>
    </row>
    <row r="746" spans="1:12">
      <c r="A746" t="str">
        <f t="shared" si="11"/>
        <v>R101H26</v>
      </c>
      <c r="B746">
        <v>26</v>
      </c>
      <c r="C746">
        <v>33</v>
      </c>
      <c r="D746">
        <v>28.2797517642123</v>
      </c>
      <c r="E746">
        <v>708</v>
      </c>
      <c r="F746">
        <v>1.1669126474356499</v>
      </c>
      <c r="G746">
        <v>4.6610169491525397</v>
      </c>
      <c r="H746" t="s">
        <v>67</v>
      </c>
      <c r="I746" t="s">
        <v>104</v>
      </c>
      <c r="J746" t="s">
        <v>105</v>
      </c>
      <c r="K746">
        <v>14</v>
      </c>
      <c r="L746">
        <v>0.93005656366043199</v>
      </c>
    </row>
    <row r="747" spans="1:12">
      <c r="A747" t="str">
        <f t="shared" si="11"/>
        <v>S116H26</v>
      </c>
      <c r="B747">
        <v>26</v>
      </c>
      <c r="C747">
        <v>202</v>
      </c>
      <c r="D747">
        <v>323.85690818132701</v>
      </c>
      <c r="E747">
        <v>7013</v>
      </c>
      <c r="F747">
        <v>0.62373225612004002</v>
      </c>
      <c r="G747">
        <v>2.8803650363610398</v>
      </c>
      <c r="H747" t="s">
        <v>67</v>
      </c>
      <c r="I747" t="s">
        <v>106</v>
      </c>
      <c r="J747" t="s">
        <v>107</v>
      </c>
      <c r="K747">
        <v>14</v>
      </c>
      <c r="L747">
        <v>0.69366724446151296</v>
      </c>
    </row>
    <row r="748" spans="1:12">
      <c r="A748" t="str">
        <f t="shared" si="11"/>
        <v>S308H26</v>
      </c>
      <c r="B748">
        <v>26</v>
      </c>
      <c r="C748">
        <v>130</v>
      </c>
      <c r="D748">
        <v>203.78427017390601</v>
      </c>
      <c r="E748">
        <v>7138</v>
      </c>
      <c r="F748">
        <v>0.63792951187576996</v>
      </c>
      <c r="G748">
        <v>1.82123844214066</v>
      </c>
      <c r="H748" t="s">
        <v>67</v>
      </c>
      <c r="I748" t="s">
        <v>108</v>
      </c>
      <c r="J748" t="s">
        <v>109</v>
      </c>
      <c r="K748">
        <v>14</v>
      </c>
      <c r="L748">
        <v>0.77581174650189599</v>
      </c>
    </row>
    <row r="749" spans="1:12">
      <c r="A749" t="str">
        <f t="shared" si="11"/>
        <v>S314H26</v>
      </c>
      <c r="B749">
        <v>26</v>
      </c>
      <c r="C749">
        <v>375</v>
      </c>
      <c r="D749">
        <v>465.29994058828203</v>
      </c>
      <c r="E749">
        <v>10943</v>
      </c>
      <c r="F749">
        <v>0.80593175990068799</v>
      </c>
      <c r="G749">
        <v>3.4268482134698002</v>
      </c>
      <c r="H749" t="s">
        <v>67</v>
      </c>
      <c r="I749" t="s">
        <v>110</v>
      </c>
      <c r="J749" t="s">
        <v>111</v>
      </c>
      <c r="K749">
        <v>14</v>
      </c>
      <c r="L749">
        <v>0.84895141342402003</v>
      </c>
    </row>
    <row r="750" spans="1:12">
      <c r="A750" t="str">
        <f t="shared" si="11"/>
        <v>T101H26</v>
      </c>
      <c r="B750">
        <v>26</v>
      </c>
      <c r="C750">
        <v>384</v>
      </c>
      <c r="D750">
        <v>461.27223645906901</v>
      </c>
      <c r="E750">
        <v>12103</v>
      </c>
      <c r="F750">
        <v>0.83248019206131996</v>
      </c>
      <c r="G750">
        <v>3.1727670825415202</v>
      </c>
      <c r="H750" t="s">
        <v>67</v>
      </c>
      <c r="I750" t="s">
        <v>112</v>
      </c>
      <c r="J750" t="s">
        <v>113</v>
      </c>
      <c r="K750">
        <v>14</v>
      </c>
      <c r="L750">
        <v>0.84437877373924997</v>
      </c>
    </row>
    <row r="751" spans="1:12">
      <c r="A751" t="str">
        <f t="shared" si="11"/>
        <v>T202H26</v>
      </c>
      <c r="B751">
        <v>26</v>
      </c>
      <c r="C751">
        <v>126</v>
      </c>
      <c r="D751">
        <v>135.321110564989</v>
      </c>
      <c r="E751">
        <v>2620</v>
      </c>
      <c r="F751">
        <v>0.931118577684798</v>
      </c>
      <c r="G751">
        <v>4.8091603053435099</v>
      </c>
      <c r="H751" t="s">
        <v>67</v>
      </c>
      <c r="I751" t="s">
        <v>114</v>
      </c>
      <c r="J751" t="s">
        <v>115</v>
      </c>
      <c r="K751">
        <v>14</v>
      </c>
      <c r="L751">
        <v>0.898166339177913</v>
      </c>
    </row>
    <row r="752" spans="1:12">
      <c r="A752" t="str">
        <f t="shared" si="11"/>
        <v>T312H26</v>
      </c>
      <c r="B752">
        <v>26</v>
      </c>
      <c r="C752">
        <v>2</v>
      </c>
      <c r="D752">
        <v>3.0366181370108798</v>
      </c>
      <c r="E752">
        <v>905</v>
      </c>
      <c r="F752">
        <v>0.65862743017425096</v>
      </c>
      <c r="G752">
        <v>0.22099447513812201</v>
      </c>
      <c r="H752" t="s">
        <v>67</v>
      </c>
      <c r="I752" t="s">
        <v>116</v>
      </c>
      <c r="J752" t="s">
        <v>117</v>
      </c>
      <c r="K752">
        <v>14</v>
      </c>
      <c r="L752">
        <v>0.74320387512810504</v>
      </c>
    </row>
    <row r="753" spans="1:12">
      <c r="A753" t="str">
        <f t="shared" si="11"/>
        <v>V217H26</v>
      </c>
      <c r="B753">
        <v>26</v>
      </c>
      <c r="C753">
        <v>297</v>
      </c>
      <c r="D753">
        <v>331.28195762991902</v>
      </c>
      <c r="E753">
        <v>8490</v>
      </c>
      <c r="F753">
        <v>0.89651728130568398</v>
      </c>
      <c r="G753">
        <v>3.4982332155477001</v>
      </c>
      <c r="H753" t="s">
        <v>67</v>
      </c>
      <c r="I753" t="s">
        <v>118</v>
      </c>
      <c r="J753" t="s">
        <v>119</v>
      </c>
      <c r="K753">
        <v>14</v>
      </c>
      <c r="L753">
        <v>0.97656914504023196</v>
      </c>
    </row>
    <row r="754" spans="1:12">
      <c r="A754" t="str">
        <f t="shared" si="11"/>
        <v>W107H26</v>
      </c>
      <c r="B754">
        <v>26</v>
      </c>
      <c r="C754">
        <v>20</v>
      </c>
      <c r="D754">
        <v>21.598684842919901</v>
      </c>
      <c r="E754">
        <v>1035</v>
      </c>
      <c r="F754">
        <v>0.92598230611971999</v>
      </c>
      <c r="G754">
        <v>1.93236714975845</v>
      </c>
      <c r="H754" t="s">
        <v>67</v>
      </c>
      <c r="I754" t="s">
        <v>120</v>
      </c>
      <c r="J754" t="s">
        <v>121</v>
      </c>
      <c r="K754">
        <v>14</v>
      </c>
      <c r="L754">
        <v>0.97256890018528797</v>
      </c>
    </row>
    <row r="755" spans="1:12">
      <c r="A755" t="str">
        <f t="shared" si="11"/>
        <v>Z102H26</v>
      </c>
      <c r="B755">
        <v>26</v>
      </c>
      <c r="C755">
        <v>15</v>
      </c>
      <c r="D755">
        <v>16.0416732845651</v>
      </c>
      <c r="E755">
        <v>927</v>
      </c>
      <c r="F755">
        <v>0.935064549309368</v>
      </c>
      <c r="G755">
        <v>1.61812297734628</v>
      </c>
      <c r="H755" t="s">
        <v>67</v>
      </c>
      <c r="I755" t="s">
        <v>122</v>
      </c>
      <c r="J755" t="s">
        <v>123</v>
      </c>
      <c r="K755">
        <v>14</v>
      </c>
      <c r="L755">
        <v>1.0276283440552301</v>
      </c>
    </row>
    <row r="756" spans="1:12">
      <c r="A756" t="str">
        <f t="shared" si="11"/>
        <v>A111H27</v>
      </c>
      <c r="B756">
        <v>27</v>
      </c>
      <c r="C756">
        <v>256</v>
      </c>
      <c r="D756">
        <v>372.75357923457</v>
      </c>
      <c r="E756">
        <v>9595</v>
      </c>
      <c r="F756">
        <v>0.68678079637942702</v>
      </c>
      <c r="G756">
        <v>2.6680562793121401</v>
      </c>
      <c r="H756" t="s">
        <v>67</v>
      </c>
      <c r="I756" t="s">
        <v>68</v>
      </c>
      <c r="J756" t="s">
        <v>69</v>
      </c>
      <c r="K756">
        <v>15</v>
      </c>
      <c r="L756">
        <v>0.78079326289532902</v>
      </c>
    </row>
    <row r="757" spans="1:12">
      <c r="A757" t="str">
        <f t="shared" si="11"/>
        <v>A210H27</v>
      </c>
      <c r="B757">
        <v>27</v>
      </c>
      <c r="C757">
        <v>191</v>
      </c>
      <c r="D757">
        <v>240.99348432734601</v>
      </c>
      <c r="E757">
        <v>6656</v>
      </c>
      <c r="F757">
        <v>0.79255254777162798</v>
      </c>
      <c r="G757">
        <v>2.8695913461538498</v>
      </c>
      <c r="H757" t="s">
        <v>67</v>
      </c>
      <c r="I757" t="s">
        <v>70</v>
      </c>
      <c r="J757" t="s">
        <v>71</v>
      </c>
      <c r="K757">
        <v>15</v>
      </c>
      <c r="L757">
        <v>0.840107841940961</v>
      </c>
    </row>
    <row r="758" spans="1:12">
      <c r="A758" t="str">
        <f t="shared" si="11"/>
        <v>B120H27</v>
      </c>
      <c r="B758">
        <v>27</v>
      </c>
      <c r="C758">
        <v>123</v>
      </c>
      <c r="D758">
        <v>144.66217125719101</v>
      </c>
      <c r="E758">
        <v>3858</v>
      </c>
      <c r="F758">
        <v>0.85025683584771705</v>
      </c>
      <c r="G758">
        <v>3.1881804043545898</v>
      </c>
      <c r="H758" t="s">
        <v>67</v>
      </c>
      <c r="I758" t="s">
        <v>72</v>
      </c>
      <c r="J758" t="s">
        <v>73</v>
      </c>
      <c r="K758">
        <v>15</v>
      </c>
      <c r="L758">
        <v>0.93789696956218405</v>
      </c>
    </row>
    <row r="759" spans="1:12">
      <c r="A759" t="str">
        <f t="shared" si="11"/>
        <v>C121H27</v>
      </c>
      <c r="B759">
        <v>27</v>
      </c>
      <c r="C759">
        <v>19</v>
      </c>
      <c r="D759">
        <v>22.253936895193899</v>
      </c>
      <c r="E759">
        <v>538</v>
      </c>
      <c r="F759">
        <v>0.85378151692806004</v>
      </c>
      <c r="G759">
        <v>3.5315985130111498</v>
      </c>
      <c r="H759" t="s">
        <v>67</v>
      </c>
      <c r="I759" t="s">
        <v>74</v>
      </c>
      <c r="J759" t="s">
        <v>75</v>
      </c>
      <c r="K759">
        <v>15</v>
      </c>
      <c r="L759">
        <v>1.04782071607635</v>
      </c>
    </row>
    <row r="760" spans="1:12">
      <c r="A760" t="str">
        <f t="shared" si="11"/>
        <v>C313H27</v>
      </c>
      <c r="B760">
        <v>27</v>
      </c>
      <c r="C760">
        <v>119</v>
      </c>
      <c r="D760">
        <v>154.758875926576</v>
      </c>
      <c r="E760">
        <v>4574</v>
      </c>
      <c r="F760">
        <v>0.76893812576190002</v>
      </c>
      <c r="G760">
        <v>2.6016615653694801</v>
      </c>
      <c r="H760" t="s">
        <v>67</v>
      </c>
      <c r="I760" t="s">
        <v>76</v>
      </c>
      <c r="J760" t="s">
        <v>77</v>
      </c>
      <c r="K760">
        <v>15</v>
      </c>
      <c r="L760">
        <v>0.92152751482776896</v>
      </c>
    </row>
    <row r="761" spans="1:12">
      <c r="A761" t="str">
        <f t="shared" si="11"/>
        <v>C418H27</v>
      </c>
      <c r="B761">
        <v>27</v>
      </c>
      <c r="C761">
        <v>287</v>
      </c>
      <c r="D761">
        <v>286.23504550538502</v>
      </c>
      <c r="E761">
        <v>8306</v>
      </c>
      <c r="F761">
        <v>1.00267246972943</v>
      </c>
      <c r="G761">
        <v>3.4553334938598601</v>
      </c>
      <c r="H761" t="s">
        <v>67</v>
      </c>
      <c r="I761" t="s">
        <v>78</v>
      </c>
      <c r="J761" t="s">
        <v>79</v>
      </c>
      <c r="K761">
        <v>15</v>
      </c>
      <c r="L761">
        <v>1.0123765399862501</v>
      </c>
    </row>
    <row r="762" spans="1:12">
      <c r="A762" t="str">
        <f t="shared" si="11"/>
        <v>D102H27</v>
      </c>
      <c r="B762">
        <v>27</v>
      </c>
      <c r="C762">
        <v>22</v>
      </c>
      <c r="D762">
        <v>25.0076335416909</v>
      </c>
      <c r="E762">
        <v>5213</v>
      </c>
      <c r="F762">
        <v>0.87973138135294704</v>
      </c>
      <c r="G762">
        <v>0.422021868405908</v>
      </c>
      <c r="H762" t="s">
        <v>67</v>
      </c>
      <c r="I762" t="s">
        <v>80</v>
      </c>
      <c r="J762" t="s">
        <v>81</v>
      </c>
      <c r="K762">
        <v>15</v>
      </c>
      <c r="L762">
        <v>0.96154751021384499</v>
      </c>
    </row>
    <row r="763" spans="1:12">
      <c r="A763" t="str">
        <f t="shared" si="11"/>
        <v>F704H27</v>
      </c>
      <c r="B763">
        <v>27</v>
      </c>
      <c r="C763">
        <v>357</v>
      </c>
      <c r="D763">
        <v>425.64395520748002</v>
      </c>
      <c r="E763">
        <v>9283</v>
      </c>
      <c r="F763">
        <v>0.83872916702406897</v>
      </c>
      <c r="G763">
        <v>3.8457395238608201</v>
      </c>
      <c r="H763" t="s">
        <v>67</v>
      </c>
      <c r="I763" t="s">
        <v>82</v>
      </c>
      <c r="J763" t="s">
        <v>83</v>
      </c>
      <c r="K763">
        <v>15</v>
      </c>
      <c r="L763">
        <v>0.89782487590970705</v>
      </c>
    </row>
    <row r="764" spans="1:12">
      <c r="A764" t="str">
        <f t="shared" si="11"/>
        <v>G107H27</v>
      </c>
      <c r="B764">
        <v>27</v>
      </c>
      <c r="C764">
        <v>360</v>
      </c>
      <c r="D764">
        <v>409.587864774129</v>
      </c>
      <c r="E764">
        <v>12308</v>
      </c>
      <c r="F764">
        <v>0.87893229014127505</v>
      </c>
      <c r="G764">
        <v>2.9249268768280801</v>
      </c>
      <c r="H764" t="s">
        <v>67</v>
      </c>
      <c r="I764" t="s">
        <v>84</v>
      </c>
      <c r="J764" t="s">
        <v>85</v>
      </c>
      <c r="K764">
        <v>15</v>
      </c>
      <c r="L764">
        <v>0.89148739244041497</v>
      </c>
    </row>
    <row r="765" spans="1:12">
      <c r="A765" t="str">
        <f t="shared" si="11"/>
        <v>G405H27</v>
      </c>
      <c r="B765">
        <v>27</v>
      </c>
      <c r="C765">
        <v>592</v>
      </c>
      <c r="D765">
        <v>719.69816930613399</v>
      </c>
      <c r="E765">
        <v>15031</v>
      </c>
      <c r="F765">
        <v>0.82256704997700902</v>
      </c>
      <c r="G765">
        <v>3.9385270441088398</v>
      </c>
      <c r="H765" t="s">
        <v>67</v>
      </c>
      <c r="I765" t="s">
        <v>86</v>
      </c>
      <c r="J765" t="s">
        <v>87</v>
      </c>
      <c r="K765">
        <v>15</v>
      </c>
      <c r="L765">
        <v>0.896313911431456</v>
      </c>
    </row>
    <row r="766" spans="1:12">
      <c r="A766" t="str">
        <f t="shared" si="11"/>
        <v>H103H27</v>
      </c>
      <c r="B766">
        <v>27</v>
      </c>
      <c r="C766">
        <v>36</v>
      </c>
      <c r="D766">
        <v>30.579058802782399</v>
      </c>
      <c r="E766">
        <v>757</v>
      </c>
      <c r="F766">
        <v>1.17727626059976</v>
      </c>
      <c r="G766">
        <v>4.7556142668427999</v>
      </c>
      <c r="H766" t="s">
        <v>67</v>
      </c>
      <c r="I766" t="s">
        <v>88</v>
      </c>
      <c r="J766" t="s">
        <v>89</v>
      </c>
      <c r="K766">
        <v>15</v>
      </c>
      <c r="L766">
        <v>0.89813410847612196</v>
      </c>
    </row>
    <row r="767" spans="1:12">
      <c r="A767" t="str">
        <f t="shared" si="11"/>
        <v>H202H27</v>
      </c>
      <c r="B767">
        <v>27</v>
      </c>
      <c r="C767">
        <v>206</v>
      </c>
      <c r="D767">
        <v>210.086355972365</v>
      </c>
      <c r="E767">
        <v>7292</v>
      </c>
      <c r="F767">
        <v>0.98054916058945396</v>
      </c>
      <c r="G767">
        <v>2.8250137136587998</v>
      </c>
      <c r="H767" t="s">
        <v>67</v>
      </c>
      <c r="I767" t="s">
        <v>90</v>
      </c>
      <c r="J767" t="s">
        <v>91</v>
      </c>
      <c r="K767">
        <v>15</v>
      </c>
      <c r="L767">
        <v>0.84082881678138</v>
      </c>
    </row>
    <row r="768" spans="1:12">
      <c r="A768" t="str">
        <f t="shared" ref="A768:A831" si="12">CONCATENATE(I768, B768)</f>
        <v>H212H27</v>
      </c>
      <c r="B768">
        <v>27</v>
      </c>
      <c r="C768">
        <v>27</v>
      </c>
      <c r="D768">
        <v>19.855757521971199</v>
      </c>
      <c r="E768">
        <v>411</v>
      </c>
      <c r="F768">
        <v>1.35980709726755</v>
      </c>
      <c r="G768">
        <v>6.5693430656934302</v>
      </c>
      <c r="H768" t="s">
        <v>67</v>
      </c>
      <c r="I768" t="s">
        <v>92</v>
      </c>
      <c r="J768" t="s">
        <v>93</v>
      </c>
      <c r="K768">
        <v>15</v>
      </c>
      <c r="L768">
        <v>1.10988156686521</v>
      </c>
    </row>
    <row r="769" spans="1:12">
      <c r="A769" t="str">
        <f t="shared" si="12"/>
        <v>L106H27</v>
      </c>
      <c r="B769">
        <v>27</v>
      </c>
      <c r="C769">
        <v>221</v>
      </c>
      <c r="D769">
        <v>301.73949559851098</v>
      </c>
      <c r="E769">
        <v>7456</v>
      </c>
      <c r="F769">
        <v>0.73241986290736905</v>
      </c>
      <c r="G769">
        <v>2.9640557939914198</v>
      </c>
      <c r="H769" t="s">
        <v>67</v>
      </c>
      <c r="I769" t="s">
        <v>94</v>
      </c>
      <c r="J769" t="s">
        <v>95</v>
      </c>
      <c r="K769">
        <v>15</v>
      </c>
      <c r="L769">
        <v>0.80964754739265199</v>
      </c>
    </row>
    <row r="770" spans="1:12">
      <c r="A770" t="str">
        <f t="shared" si="12"/>
        <v>L302H27</v>
      </c>
      <c r="B770">
        <v>27</v>
      </c>
      <c r="C770">
        <v>260</v>
      </c>
      <c r="D770">
        <v>296.40043345471599</v>
      </c>
      <c r="E770">
        <v>7290</v>
      </c>
      <c r="F770">
        <v>0.877191699652905</v>
      </c>
      <c r="G770">
        <v>3.5665294924554201</v>
      </c>
      <c r="H770" t="s">
        <v>67</v>
      </c>
      <c r="I770" t="s">
        <v>96</v>
      </c>
      <c r="J770" t="s">
        <v>97</v>
      </c>
      <c r="K770">
        <v>15</v>
      </c>
      <c r="L770">
        <v>0.797774590731124</v>
      </c>
    </row>
    <row r="771" spans="1:12">
      <c r="A771" t="str">
        <f t="shared" si="12"/>
        <v>L308H27</v>
      </c>
      <c r="B771">
        <v>27</v>
      </c>
      <c r="C771">
        <v>234</v>
      </c>
      <c r="D771">
        <v>336.25796252789502</v>
      </c>
      <c r="E771">
        <v>10598</v>
      </c>
      <c r="F771">
        <v>0.69589430162739396</v>
      </c>
      <c r="G771">
        <v>2.2079637667484402</v>
      </c>
      <c r="H771" t="s">
        <v>67</v>
      </c>
      <c r="I771" t="s">
        <v>98</v>
      </c>
      <c r="J771" t="s">
        <v>99</v>
      </c>
      <c r="K771">
        <v>15</v>
      </c>
      <c r="L771">
        <v>0.79711573041882</v>
      </c>
    </row>
    <row r="772" spans="1:12">
      <c r="A772" t="str">
        <f t="shared" si="12"/>
        <v>N101H27</v>
      </c>
      <c r="B772">
        <v>27</v>
      </c>
      <c r="C772">
        <v>385</v>
      </c>
      <c r="D772">
        <v>442.89276486889003</v>
      </c>
      <c r="E772">
        <v>12831</v>
      </c>
      <c r="F772">
        <v>0.86928491621210402</v>
      </c>
      <c r="G772">
        <v>3.00054555373704</v>
      </c>
      <c r="H772" t="s">
        <v>67</v>
      </c>
      <c r="I772" t="s">
        <v>100</v>
      </c>
      <c r="J772" t="s">
        <v>101</v>
      </c>
      <c r="K772">
        <v>15</v>
      </c>
      <c r="L772">
        <v>0.89299476559909696</v>
      </c>
    </row>
    <row r="773" spans="1:12">
      <c r="A773" t="str">
        <f t="shared" si="12"/>
        <v>N411H27</v>
      </c>
      <c r="B773">
        <v>27</v>
      </c>
      <c r="C773">
        <v>84</v>
      </c>
      <c r="D773">
        <v>90.395345369881198</v>
      </c>
      <c r="E773">
        <v>2922</v>
      </c>
      <c r="F773">
        <v>0.92925138629967496</v>
      </c>
      <c r="G773">
        <v>2.8747433264887099</v>
      </c>
      <c r="H773" t="s">
        <v>67</v>
      </c>
      <c r="I773" t="s">
        <v>102</v>
      </c>
      <c r="J773" t="s">
        <v>103</v>
      </c>
      <c r="K773">
        <v>15</v>
      </c>
      <c r="L773">
        <v>1.03671884046645</v>
      </c>
    </row>
    <row r="774" spans="1:12">
      <c r="A774" t="str">
        <f t="shared" si="12"/>
        <v>R101H27</v>
      </c>
      <c r="B774">
        <v>27</v>
      </c>
      <c r="C774">
        <v>18</v>
      </c>
      <c r="D774">
        <v>22.620150181200302</v>
      </c>
      <c r="E774">
        <v>667</v>
      </c>
      <c r="F774">
        <v>0.79575068493399603</v>
      </c>
      <c r="G774">
        <v>2.6986506746626699</v>
      </c>
      <c r="H774" t="s">
        <v>67</v>
      </c>
      <c r="I774" t="s">
        <v>104</v>
      </c>
      <c r="J774" t="s">
        <v>105</v>
      </c>
      <c r="K774">
        <v>15</v>
      </c>
      <c r="L774">
        <v>0.90845693966045304</v>
      </c>
    </row>
    <row r="775" spans="1:12">
      <c r="A775" t="str">
        <f t="shared" si="12"/>
        <v>S116H27</v>
      </c>
      <c r="B775">
        <v>27</v>
      </c>
      <c r="C775">
        <v>231</v>
      </c>
      <c r="D775">
        <v>347.44911020746702</v>
      </c>
      <c r="E775">
        <v>6842</v>
      </c>
      <c r="F775">
        <v>0.66484556504423498</v>
      </c>
      <c r="G775">
        <v>3.3762057877813501</v>
      </c>
      <c r="H775" t="s">
        <v>67</v>
      </c>
      <c r="I775" t="s">
        <v>106</v>
      </c>
      <c r="J775" t="s">
        <v>107</v>
      </c>
      <c r="K775">
        <v>15</v>
      </c>
      <c r="L775">
        <v>0.68888100333470204</v>
      </c>
    </row>
    <row r="776" spans="1:12">
      <c r="A776" t="str">
        <f t="shared" si="12"/>
        <v>S308H27</v>
      </c>
      <c r="B776">
        <v>27</v>
      </c>
      <c r="C776">
        <v>152</v>
      </c>
      <c r="D776">
        <v>197.65650880616201</v>
      </c>
      <c r="E776">
        <v>6782</v>
      </c>
      <c r="F776">
        <v>0.76901085078388798</v>
      </c>
      <c r="G776">
        <v>2.2412267767620202</v>
      </c>
      <c r="H776" t="s">
        <v>67</v>
      </c>
      <c r="I776" t="s">
        <v>108</v>
      </c>
      <c r="J776" t="s">
        <v>109</v>
      </c>
      <c r="K776">
        <v>15</v>
      </c>
      <c r="L776">
        <v>0.76980816257906504</v>
      </c>
    </row>
    <row r="777" spans="1:12">
      <c r="A777" t="str">
        <f t="shared" si="12"/>
        <v>S314H27</v>
      </c>
      <c r="B777">
        <v>27</v>
      </c>
      <c r="C777">
        <v>367</v>
      </c>
      <c r="D777">
        <v>447.54828169054201</v>
      </c>
      <c r="E777">
        <v>11169</v>
      </c>
      <c r="F777">
        <v>0.82002325785659602</v>
      </c>
      <c r="G777">
        <v>3.2858805622705698</v>
      </c>
      <c r="H777" t="s">
        <v>67</v>
      </c>
      <c r="I777" t="s">
        <v>110</v>
      </c>
      <c r="J777" t="s">
        <v>111</v>
      </c>
      <c r="K777">
        <v>15</v>
      </c>
      <c r="L777">
        <v>0.84809802247447397</v>
      </c>
    </row>
    <row r="778" spans="1:12">
      <c r="A778" t="str">
        <f t="shared" si="12"/>
        <v>T101H27</v>
      </c>
      <c r="B778">
        <v>27</v>
      </c>
      <c r="C778">
        <v>382</v>
      </c>
      <c r="D778">
        <v>461.852484570966</v>
      </c>
      <c r="E778">
        <v>11719</v>
      </c>
      <c r="F778">
        <v>0.82710391902482705</v>
      </c>
      <c r="G778">
        <v>3.25966379383906</v>
      </c>
      <c r="H778" t="s">
        <v>67</v>
      </c>
      <c r="I778" t="s">
        <v>112</v>
      </c>
      <c r="J778" t="s">
        <v>113</v>
      </c>
      <c r="K778">
        <v>15</v>
      </c>
      <c r="L778">
        <v>0.83919743353674503</v>
      </c>
    </row>
    <row r="779" spans="1:12">
      <c r="A779" t="str">
        <f t="shared" si="12"/>
        <v>T202H27</v>
      </c>
      <c r="B779">
        <v>27</v>
      </c>
      <c r="C779">
        <v>111</v>
      </c>
      <c r="D779">
        <v>129.78230773629801</v>
      </c>
      <c r="E779">
        <v>2595</v>
      </c>
      <c r="F779">
        <v>0.85527836525714196</v>
      </c>
      <c r="G779">
        <v>4.2774566473988402</v>
      </c>
      <c r="H779" t="s">
        <v>67</v>
      </c>
      <c r="I779" t="s">
        <v>114</v>
      </c>
      <c r="J779" t="s">
        <v>115</v>
      </c>
      <c r="K779">
        <v>15</v>
      </c>
      <c r="L779">
        <v>0.89857525925653303</v>
      </c>
    </row>
    <row r="780" spans="1:12">
      <c r="A780" t="str">
        <f t="shared" si="12"/>
        <v>T312H27</v>
      </c>
      <c r="B780">
        <v>27</v>
      </c>
      <c r="C780">
        <v>2</v>
      </c>
      <c r="D780">
        <v>2.2283674590806499</v>
      </c>
      <c r="E780">
        <v>963</v>
      </c>
      <c r="F780">
        <v>0.89751804256966305</v>
      </c>
      <c r="G780">
        <v>0.20768431983385299</v>
      </c>
      <c r="H780" t="s">
        <v>67</v>
      </c>
      <c r="I780" t="s">
        <v>116</v>
      </c>
      <c r="J780" t="s">
        <v>117</v>
      </c>
      <c r="K780">
        <v>15</v>
      </c>
      <c r="L780">
        <v>0.75141898455232303</v>
      </c>
    </row>
    <row r="781" spans="1:12">
      <c r="A781" t="str">
        <f t="shared" si="12"/>
        <v>V217H27</v>
      </c>
      <c r="B781">
        <v>27</v>
      </c>
      <c r="C781">
        <v>294</v>
      </c>
      <c r="D781">
        <v>315.77718796687299</v>
      </c>
      <c r="E781">
        <v>8083</v>
      </c>
      <c r="F781">
        <v>0.931036221751529</v>
      </c>
      <c r="G781">
        <v>3.6372633923048401</v>
      </c>
      <c r="H781" t="s">
        <v>67</v>
      </c>
      <c r="I781" t="s">
        <v>118</v>
      </c>
      <c r="J781" t="s">
        <v>119</v>
      </c>
      <c r="K781">
        <v>15</v>
      </c>
      <c r="L781">
        <v>0.97680335036461696</v>
      </c>
    </row>
    <row r="782" spans="1:12">
      <c r="A782" t="str">
        <f t="shared" si="12"/>
        <v>W107H27</v>
      </c>
      <c r="B782">
        <v>27</v>
      </c>
      <c r="C782">
        <v>19</v>
      </c>
      <c r="D782">
        <v>23.179365794797299</v>
      </c>
      <c r="E782">
        <v>1000</v>
      </c>
      <c r="F782">
        <v>0.81969455800488999</v>
      </c>
      <c r="G782">
        <v>1.9</v>
      </c>
      <c r="H782" t="s">
        <v>67</v>
      </c>
      <c r="I782" t="s">
        <v>120</v>
      </c>
      <c r="J782" t="s">
        <v>121</v>
      </c>
      <c r="K782">
        <v>15</v>
      </c>
      <c r="L782">
        <v>0.95450690737401001</v>
      </c>
    </row>
    <row r="783" spans="1:12">
      <c r="A783" t="str">
        <f t="shared" si="12"/>
        <v>Z102H27</v>
      </c>
      <c r="B783">
        <v>27</v>
      </c>
      <c r="C783">
        <v>13</v>
      </c>
      <c r="D783">
        <v>18.947722637900998</v>
      </c>
      <c r="E783">
        <v>916</v>
      </c>
      <c r="F783">
        <v>0.68609828465592004</v>
      </c>
      <c r="G783">
        <v>1.4192139737991301</v>
      </c>
      <c r="H783" t="s">
        <v>67</v>
      </c>
      <c r="I783" t="s">
        <v>122</v>
      </c>
      <c r="J783" t="s">
        <v>123</v>
      </c>
      <c r="K783">
        <v>15</v>
      </c>
      <c r="L783">
        <v>1.0279412699409101</v>
      </c>
    </row>
    <row r="784" spans="1:12">
      <c r="A784" t="str">
        <f t="shared" si="12"/>
        <v>A111H28</v>
      </c>
      <c r="B784">
        <v>28</v>
      </c>
      <c r="C784">
        <v>321</v>
      </c>
      <c r="D784">
        <v>399.91987802331101</v>
      </c>
      <c r="E784">
        <v>10305</v>
      </c>
      <c r="F784">
        <v>0.80266077692014304</v>
      </c>
      <c r="G784">
        <v>3.1149927219796201</v>
      </c>
      <c r="H784" t="s">
        <v>67</v>
      </c>
      <c r="I784" t="s">
        <v>68</v>
      </c>
      <c r="J784" t="s">
        <v>69</v>
      </c>
      <c r="K784">
        <v>16</v>
      </c>
      <c r="L784">
        <v>0.77220969367661496</v>
      </c>
    </row>
    <row r="785" spans="1:12">
      <c r="A785" t="str">
        <f t="shared" si="12"/>
        <v>A210H28</v>
      </c>
      <c r="B785">
        <v>28</v>
      </c>
      <c r="C785">
        <v>259</v>
      </c>
      <c r="D785">
        <v>260.18342871966797</v>
      </c>
      <c r="E785">
        <v>6786</v>
      </c>
      <c r="F785">
        <v>0.99545155998023405</v>
      </c>
      <c r="G785">
        <v>3.8166814028883</v>
      </c>
      <c r="H785" t="s">
        <v>67</v>
      </c>
      <c r="I785" t="s">
        <v>70</v>
      </c>
      <c r="J785" t="s">
        <v>71</v>
      </c>
      <c r="K785">
        <v>16</v>
      </c>
      <c r="L785">
        <v>0.83156704890664301</v>
      </c>
    </row>
    <row r="786" spans="1:12">
      <c r="A786" t="str">
        <f t="shared" si="12"/>
        <v>B120H28</v>
      </c>
      <c r="B786">
        <v>28</v>
      </c>
      <c r="C786">
        <v>166</v>
      </c>
      <c r="D786">
        <v>188.827236094912</v>
      </c>
      <c r="E786">
        <v>4021</v>
      </c>
      <c r="F786">
        <v>0.87911046855847297</v>
      </c>
      <c r="G786">
        <v>4.1283262869932802</v>
      </c>
      <c r="H786" t="s">
        <v>67</v>
      </c>
      <c r="I786" t="s">
        <v>72</v>
      </c>
      <c r="J786" t="s">
        <v>73</v>
      </c>
      <c r="K786">
        <v>16</v>
      </c>
      <c r="L786">
        <v>0.938109074228065</v>
      </c>
    </row>
    <row r="787" spans="1:12">
      <c r="A787" t="str">
        <f t="shared" si="12"/>
        <v>C121H28</v>
      </c>
      <c r="B787">
        <v>28</v>
      </c>
      <c r="C787">
        <v>34</v>
      </c>
      <c r="D787">
        <v>30.242077636143001</v>
      </c>
      <c r="E787">
        <v>507</v>
      </c>
      <c r="F787">
        <v>1.1242613820740199</v>
      </c>
      <c r="G787">
        <v>6.7061143984220903</v>
      </c>
      <c r="H787" t="s">
        <v>67</v>
      </c>
      <c r="I787" t="s">
        <v>74</v>
      </c>
      <c r="J787" t="s">
        <v>75</v>
      </c>
      <c r="K787">
        <v>16</v>
      </c>
      <c r="L787">
        <v>1.0447775020999599</v>
      </c>
    </row>
    <row r="788" spans="1:12">
      <c r="A788" t="str">
        <f t="shared" si="12"/>
        <v>C313H28</v>
      </c>
      <c r="B788">
        <v>28</v>
      </c>
      <c r="C788">
        <v>195</v>
      </c>
      <c r="D788">
        <v>191.80104168167699</v>
      </c>
      <c r="E788">
        <v>4700</v>
      </c>
      <c r="F788">
        <v>1.0166785242159</v>
      </c>
      <c r="G788">
        <v>4.1489361702127701</v>
      </c>
      <c r="H788" t="s">
        <v>67</v>
      </c>
      <c r="I788" t="s">
        <v>76</v>
      </c>
      <c r="J788" t="s">
        <v>77</v>
      </c>
      <c r="K788">
        <v>16</v>
      </c>
      <c r="L788">
        <v>0.90804158989578798</v>
      </c>
    </row>
    <row r="789" spans="1:12">
      <c r="A789" t="str">
        <f t="shared" si="12"/>
        <v>C418H28</v>
      </c>
      <c r="B789">
        <v>28</v>
      </c>
      <c r="C789">
        <v>354</v>
      </c>
      <c r="D789">
        <v>318.24585188367502</v>
      </c>
      <c r="E789">
        <v>8317</v>
      </c>
      <c r="F789">
        <v>1.11234756998308</v>
      </c>
      <c r="G789">
        <v>4.2563424311650797</v>
      </c>
      <c r="H789" t="s">
        <v>67</v>
      </c>
      <c r="I789" t="s">
        <v>78</v>
      </c>
      <c r="J789" t="s">
        <v>79</v>
      </c>
      <c r="K789">
        <v>16</v>
      </c>
      <c r="L789">
        <v>1.0079346237061899</v>
      </c>
    </row>
    <row r="790" spans="1:12">
      <c r="A790" t="str">
        <f t="shared" si="12"/>
        <v>D102H28</v>
      </c>
      <c r="B790">
        <v>28</v>
      </c>
      <c r="C790">
        <v>30</v>
      </c>
      <c r="D790">
        <v>29.475076760115201</v>
      </c>
      <c r="E790">
        <v>5272</v>
      </c>
      <c r="F790">
        <v>1.0178090542106799</v>
      </c>
      <c r="G790">
        <v>0.56904400606980299</v>
      </c>
      <c r="H790" t="s">
        <v>67</v>
      </c>
      <c r="I790" t="s">
        <v>80</v>
      </c>
      <c r="J790" t="s">
        <v>81</v>
      </c>
      <c r="K790">
        <v>16</v>
      </c>
      <c r="L790">
        <v>0.97132756280560295</v>
      </c>
    </row>
    <row r="791" spans="1:12">
      <c r="A791" t="str">
        <f t="shared" si="12"/>
        <v>F704H28</v>
      </c>
      <c r="B791">
        <v>28</v>
      </c>
      <c r="C791">
        <v>439</v>
      </c>
      <c r="D791">
        <v>488.31791777548301</v>
      </c>
      <c r="E791">
        <v>9684</v>
      </c>
      <c r="F791">
        <v>0.89900448871475203</v>
      </c>
      <c r="G791">
        <v>4.5332507228418004</v>
      </c>
      <c r="H791" t="s">
        <v>67</v>
      </c>
      <c r="I791" t="s">
        <v>82</v>
      </c>
      <c r="J791" t="s">
        <v>83</v>
      </c>
      <c r="K791">
        <v>16</v>
      </c>
      <c r="L791">
        <v>0.89728094153163096</v>
      </c>
    </row>
    <row r="792" spans="1:12">
      <c r="A792" t="str">
        <f t="shared" si="12"/>
        <v>G107H28</v>
      </c>
      <c r="B792">
        <v>28</v>
      </c>
      <c r="C792">
        <v>484</v>
      </c>
      <c r="D792">
        <v>474.90313031567302</v>
      </c>
      <c r="E792">
        <v>12800</v>
      </c>
      <c r="F792">
        <v>1.0191552110391</v>
      </c>
      <c r="G792">
        <v>3.78125</v>
      </c>
      <c r="H792" t="s">
        <v>67</v>
      </c>
      <c r="I792" t="s">
        <v>84</v>
      </c>
      <c r="J792" t="s">
        <v>85</v>
      </c>
      <c r="K792">
        <v>16</v>
      </c>
      <c r="L792">
        <v>0.88656762666639599</v>
      </c>
    </row>
    <row r="793" spans="1:12">
      <c r="A793" t="str">
        <f t="shared" si="12"/>
        <v>G405H28</v>
      </c>
      <c r="B793">
        <v>28</v>
      </c>
      <c r="C793">
        <v>714</v>
      </c>
      <c r="D793">
        <v>763.06700171890202</v>
      </c>
      <c r="E793">
        <v>15595</v>
      </c>
      <c r="F793">
        <v>0.93569764960563995</v>
      </c>
      <c r="G793">
        <v>4.5783905097787798</v>
      </c>
      <c r="H793" t="s">
        <v>67</v>
      </c>
      <c r="I793" t="s">
        <v>86</v>
      </c>
      <c r="J793" t="s">
        <v>87</v>
      </c>
      <c r="K793">
        <v>16</v>
      </c>
      <c r="L793">
        <v>0.89637105201407397</v>
      </c>
    </row>
    <row r="794" spans="1:12">
      <c r="A794" t="str">
        <f t="shared" si="12"/>
        <v>H103H28</v>
      </c>
      <c r="B794">
        <v>28</v>
      </c>
      <c r="C794">
        <v>25</v>
      </c>
      <c r="D794">
        <v>36.179145096577699</v>
      </c>
      <c r="E794">
        <v>819</v>
      </c>
      <c r="F794">
        <v>0.69100582485474005</v>
      </c>
      <c r="G794">
        <v>3.0525030525030501</v>
      </c>
      <c r="H794" t="s">
        <v>67</v>
      </c>
      <c r="I794" t="s">
        <v>88</v>
      </c>
      <c r="J794" t="s">
        <v>89</v>
      </c>
      <c r="K794">
        <v>16</v>
      </c>
      <c r="L794">
        <v>0.89166084944831703</v>
      </c>
    </row>
    <row r="795" spans="1:12">
      <c r="A795" t="str">
        <f t="shared" si="12"/>
        <v>H202H28</v>
      </c>
      <c r="B795">
        <v>28</v>
      </c>
      <c r="C795">
        <v>177</v>
      </c>
      <c r="D795">
        <v>224.19301588479601</v>
      </c>
      <c r="E795">
        <v>7311</v>
      </c>
      <c r="F795">
        <v>0.78949827808620499</v>
      </c>
      <c r="G795">
        <v>2.4210094378333999</v>
      </c>
      <c r="H795" t="s">
        <v>67</v>
      </c>
      <c r="I795" t="s">
        <v>90</v>
      </c>
      <c r="J795" t="s">
        <v>91</v>
      </c>
      <c r="K795">
        <v>16</v>
      </c>
      <c r="L795">
        <v>0.84428936815437605</v>
      </c>
    </row>
    <row r="796" spans="1:12">
      <c r="A796" t="str">
        <f t="shared" si="12"/>
        <v>H212H28</v>
      </c>
      <c r="B796">
        <v>28</v>
      </c>
      <c r="C796">
        <v>15</v>
      </c>
      <c r="D796">
        <v>21.552356466794802</v>
      </c>
      <c r="E796">
        <v>369</v>
      </c>
      <c r="F796">
        <v>0.69597957991786896</v>
      </c>
      <c r="G796">
        <v>4.0650406504065</v>
      </c>
      <c r="H796" t="s">
        <v>67</v>
      </c>
      <c r="I796" t="s">
        <v>92</v>
      </c>
      <c r="J796" t="s">
        <v>93</v>
      </c>
      <c r="K796">
        <v>16</v>
      </c>
      <c r="L796">
        <v>1.11079388025623</v>
      </c>
    </row>
    <row r="797" spans="1:12">
      <c r="A797" t="str">
        <f t="shared" si="12"/>
        <v>L106H28</v>
      </c>
      <c r="B797">
        <v>28</v>
      </c>
      <c r="C797">
        <v>321</v>
      </c>
      <c r="D797">
        <v>349.63756936366502</v>
      </c>
      <c r="E797">
        <v>8023</v>
      </c>
      <c r="F797">
        <v>0.91809355780677404</v>
      </c>
      <c r="G797">
        <v>4.0009971332419303</v>
      </c>
      <c r="H797" t="s">
        <v>67</v>
      </c>
      <c r="I797" t="s">
        <v>94</v>
      </c>
      <c r="J797" t="s">
        <v>95</v>
      </c>
      <c r="K797">
        <v>16</v>
      </c>
      <c r="L797">
        <v>0.799945826192486</v>
      </c>
    </row>
    <row r="798" spans="1:12">
      <c r="A798" t="str">
        <f t="shared" si="12"/>
        <v>L302H28</v>
      </c>
      <c r="B798">
        <v>28</v>
      </c>
      <c r="C798">
        <v>275</v>
      </c>
      <c r="D798">
        <v>339.99939967290601</v>
      </c>
      <c r="E798">
        <v>7301</v>
      </c>
      <c r="F798">
        <v>0.80882495752804895</v>
      </c>
      <c r="G798">
        <v>3.7666073140665701</v>
      </c>
      <c r="H798" t="s">
        <v>67</v>
      </c>
      <c r="I798" t="s">
        <v>96</v>
      </c>
      <c r="J798" t="s">
        <v>97</v>
      </c>
      <c r="K798">
        <v>16</v>
      </c>
      <c r="L798">
        <v>0.78877588722055803</v>
      </c>
    </row>
    <row r="799" spans="1:12">
      <c r="A799" t="str">
        <f t="shared" si="12"/>
        <v>L308H28</v>
      </c>
      <c r="B799">
        <v>28</v>
      </c>
      <c r="C799">
        <v>333</v>
      </c>
      <c r="D799">
        <v>374.58658572500599</v>
      </c>
      <c r="E799">
        <v>11036</v>
      </c>
      <c r="F799">
        <v>0.88898004544259002</v>
      </c>
      <c r="G799">
        <v>3.01739760782892</v>
      </c>
      <c r="H799" t="s">
        <v>67</v>
      </c>
      <c r="I799" t="s">
        <v>98</v>
      </c>
      <c r="J799" t="s">
        <v>99</v>
      </c>
      <c r="K799">
        <v>16</v>
      </c>
      <c r="L799">
        <v>0.77806523725648002</v>
      </c>
    </row>
    <row r="800" spans="1:12">
      <c r="A800" t="str">
        <f t="shared" si="12"/>
        <v>N101H28</v>
      </c>
      <c r="B800">
        <v>28</v>
      </c>
      <c r="C800">
        <v>491</v>
      </c>
      <c r="D800">
        <v>525.61281019568901</v>
      </c>
      <c r="E800">
        <v>12823</v>
      </c>
      <c r="F800">
        <v>0.93414770430956096</v>
      </c>
      <c r="G800">
        <v>3.8290571629104</v>
      </c>
      <c r="H800" t="s">
        <v>67</v>
      </c>
      <c r="I800" t="s">
        <v>100</v>
      </c>
      <c r="J800" t="s">
        <v>101</v>
      </c>
      <c r="K800">
        <v>16</v>
      </c>
      <c r="L800">
        <v>0.89182118608592997</v>
      </c>
    </row>
    <row r="801" spans="1:12">
      <c r="A801" t="str">
        <f t="shared" si="12"/>
        <v>N411H28</v>
      </c>
      <c r="B801">
        <v>28</v>
      </c>
      <c r="C801">
        <v>85</v>
      </c>
      <c r="D801">
        <v>91.654576500511794</v>
      </c>
      <c r="E801">
        <v>2907</v>
      </c>
      <c r="F801">
        <v>0.92739504392915295</v>
      </c>
      <c r="G801">
        <v>2.9239766081871301</v>
      </c>
      <c r="H801" t="s">
        <v>67</v>
      </c>
      <c r="I801" t="s">
        <v>102</v>
      </c>
      <c r="J801" t="s">
        <v>103</v>
      </c>
      <c r="K801">
        <v>16</v>
      </c>
      <c r="L801">
        <v>1.03493440997919</v>
      </c>
    </row>
    <row r="802" spans="1:12">
      <c r="A802" t="str">
        <f t="shared" si="12"/>
        <v>R101H28</v>
      </c>
      <c r="B802">
        <v>28</v>
      </c>
      <c r="C802">
        <v>42</v>
      </c>
      <c r="D802">
        <v>36.295367757252897</v>
      </c>
      <c r="E802">
        <v>778</v>
      </c>
      <c r="F802">
        <v>1.15717246015801</v>
      </c>
      <c r="G802">
        <v>5.3984575835475601</v>
      </c>
      <c r="H802" t="s">
        <v>67</v>
      </c>
      <c r="I802" t="s">
        <v>104</v>
      </c>
      <c r="J802" t="s">
        <v>105</v>
      </c>
      <c r="K802">
        <v>16</v>
      </c>
      <c r="L802">
        <v>0.88685731566047399</v>
      </c>
    </row>
    <row r="803" spans="1:12">
      <c r="A803" t="str">
        <f t="shared" si="12"/>
        <v>S116H28</v>
      </c>
      <c r="B803">
        <v>28</v>
      </c>
      <c r="C803">
        <v>249</v>
      </c>
      <c r="D803">
        <v>361.29911225210702</v>
      </c>
      <c r="E803">
        <v>7042</v>
      </c>
      <c r="F803">
        <v>0.68917966182616297</v>
      </c>
      <c r="G803">
        <v>3.5359272933825601</v>
      </c>
      <c r="H803" t="s">
        <v>67</v>
      </c>
      <c r="I803" t="s">
        <v>106</v>
      </c>
      <c r="J803" t="s">
        <v>107</v>
      </c>
      <c r="K803">
        <v>16</v>
      </c>
      <c r="L803">
        <v>0.68409476220789101</v>
      </c>
    </row>
    <row r="804" spans="1:12">
      <c r="A804" t="str">
        <f t="shared" si="12"/>
        <v>S308H28</v>
      </c>
      <c r="B804">
        <v>28</v>
      </c>
      <c r="C804">
        <v>170</v>
      </c>
      <c r="D804">
        <v>209.014327776372</v>
      </c>
      <c r="E804">
        <v>6994</v>
      </c>
      <c r="F804">
        <v>0.81334137141969498</v>
      </c>
      <c r="G804">
        <v>2.43065484701172</v>
      </c>
      <c r="H804" t="s">
        <v>67</v>
      </c>
      <c r="I804" t="s">
        <v>108</v>
      </c>
      <c r="J804" t="s">
        <v>109</v>
      </c>
      <c r="K804">
        <v>16</v>
      </c>
      <c r="L804">
        <v>0.76380457865623397</v>
      </c>
    </row>
    <row r="805" spans="1:12">
      <c r="A805" t="str">
        <f t="shared" si="12"/>
        <v>S314H28</v>
      </c>
      <c r="B805">
        <v>28</v>
      </c>
      <c r="C805">
        <v>459</v>
      </c>
      <c r="D805">
        <v>514.02107104449897</v>
      </c>
      <c r="E805">
        <v>11249</v>
      </c>
      <c r="F805">
        <v>0.89295950274432201</v>
      </c>
      <c r="G805">
        <v>4.08036269890657</v>
      </c>
      <c r="H805" t="s">
        <v>67</v>
      </c>
      <c r="I805" t="s">
        <v>110</v>
      </c>
      <c r="J805" t="s">
        <v>111</v>
      </c>
      <c r="K805">
        <v>16</v>
      </c>
      <c r="L805">
        <v>0.84724463152492901</v>
      </c>
    </row>
    <row r="806" spans="1:12">
      <c r="A806" t="str">
        <f t="shared" si="12"/>
        <v>T101H28</v>
      </c>
      <c r="B806">
        <v>28</v>
      </c>
      <c r="C806">
        <v>481</v>
      </c>
      <c r="D806">
        <v>526.97836666494595</v>
      </c>
      <c r="E806">
        <v>11947</v>
      </c>
      <c r="F806">
        <v>0.91275094088600495</v>
      </c>
      <c r="G806">
        <v>4.0261153427638696</v>
      </c>
      <c r="H806" t="s">
        <v>67</v>
      </c>
      <c r="I806" t="s">
        <v>112</v>
      </c>
      <c r="J806" t="s">
        <v>113</v>
      </c>
      <c r="K806">
        <v>16</v>
      </c>
      <c r="L806">
        <v>0.83401609333423898</v>
      </c>
    </row>
    <row r="807" spans="1:12">
      <c r="A807" t="str">
        <f t="shared" si="12"/>
        <v>T202H28</v>
      </c>
      <c r="B807">
        <v>28</v>
      </c>
      <c r="C807">
        <v>135</v>
      </c>
      <c r="D807">
        <v>148.49349750144901</v>
      </c>
      <c r="E807">
        <v>2496</v>
      </c>
      <c r="F807">
        <v>0.90913071798772005</v>
      </c>
      <c r="G807">
        <v>5.4086538461538503</v>
      </c>
      <c r="H807" t="s">
        <v>67</v>
      </c>
      <c r="I807" t="s">
        <v>114</v>
      </c>
      <c r="J807" t="s">
        <v>115</v>
      </c>
      <c r="K807">
        <v>16</v>
      </c>
      <c r="L807">
        <v>0.89898417933515395</v>
      </c>
    </row>
    <row r="808" spans="1:12">
      <c r="A808" t="str">
        <f t="shared" si="12"/>
        <v>T312H28</v>
      </c>
      <c r="B808">
        <v>28</v>
      </c>
      <c r="C808">
        <v>4</v>
      </c>
      <c r="D808">
        <v>3.2836623687556301</v>
      </c>
      <c r="E808">
        <v>976</v>
      </c>
      <c r="F808">
        <v>1.2181520359889599</v>
      </c>
      <c r="G808">
        <v>0.40983606557377</v>
      </c>
      <c r="H808" t="s">
        <v>67</v>
      </c>
      <c r="I808" t="s">
        <v>116</v>
      </c>
      <c r="J808" t="s">
        <v>117</v>
      </c>
      <c r="K808">
        <v>16</v>
      </c>
      <c r="L808">
        <v>0.75963409397654102</v>
      </c>
    </row>
    <row r="809" spans="1:12">
      <c r="A809" t="str">
        <f t="shared" si="12"/>
        <v>V217H28</v>
      </c>
      <c r="B809">
        <v>28</v>
      </c>
      <c r="C809">
        <v>394</v>
      </c>
      <c r="D809">
        <v>381.23552776235999</v>
      </c>
      <c r="E809">
        <v>8540</v>
      </c>
      <c r="F809">
        <v>1.03348185388849</v>
      </c>
      <c r="G809">
        <v>4.6135831381732997</v>
      </c>
      <c r="H809" t="s">
        <v>67</v>
      </c>
      <c r="I809" t="s">
        <v>118</v>
      </c>
      <c r="J809" t="s">
        <v>119</v>
      </c>
      <c r="K809">
        <v>16</v>
      </c>
      <c r="L809">
        <v>0.97703755568900097</v>
      </c>
    </row>
    <row r="810" spans="1:12">
      <c r="A810" t="str">
        <f t="shared" si="12"/>
        <v>W107H28</v>
      </c>
      <c r="B810">
        <v>28</v>
      </c>
      <c r="C810">
        <v>41</v>
      </c>
      <c r="D810">
        <v>34.856514602633403</v>
      </c>
      <c r="E810">
        <v>1079</v>
      </c>
      <c r="F810">
        <v>1.1762507085806699</v>
      </c>
      <c r="G810">
        <v>3.7998146431881401</v>
      </c>
      <c r="H810" t="s">
        <v>67</v>
      </c>
      <c r="I810" t="s">
        <v>120</v>
      </c>
      <c r="J810" t="s">
        <v>121</v>
      </c>
      <c r="K810">
        <v>16</v>
      </c>
      <c r="L810">
        <v>0.93644491456273105</v>
      </c>
    </row>
    <row r="811" spans="1:12">
      <c r="A811" t="str">
        <f t="shared" si="12"/>
        <v>Y146H28</v>
      </c>
      <c r="B811">
        <v>28</v>
      </c>
      <c r="C811">
        <v>62</v>
      </c>
      <c r="D811">
        <v>89.412820105394303</v>
      </c>
      <c r="E811">
        <v>1590</v>
      </c>
      <c r="F811">
        <v>0.69341286771760702</v>
      </c>
      <c r="G811">
        <v>3.89937106918239</v>
      </c>
      <c r="H811" t="s">
        <v>67</v>
      </c>
      <c r="I811" t="s">
        <v>124</v>
      </c>
      <c r="J811" t="s">
        <v>125</v>
      </c>
      <c r="K811">
        <v>16</v>
      </c>
      <c r="L811">
        <v>0.69341286771765598</v>
      </c>
    </row>
    <row r="812" spans="1:12">
      <c r="A812" t="str">
        <f t="shared" si="12"/>
        <v>Z102H28</v>
      </c>
      <c r="B812">
        <v>28</v>
      </c>
      <c r="C812">
        <v>20</v>
      </c>
      <c r="D812">
        <v>20.405040519251401</v>
      </c>
      <c r="E812">
        <v>900</v>
      </c>
      <c r="F812">
        <v>0.98014997721424402</v>
      </c>
      <c r="G812">
        <v>2.2222222222222201</v>
      </c>
      <c r="H812" t="s">
        <v>67</v>
      </c>
      <c r="I812" t="s">
        <v>122</v>
      </c>
      <c r="J812" t="s">
        <v>123</v>
      </c>
      <c r="K812">
        <v>16</v>
      </c>
      <c r="L812">
        <v>1.0282541958266</v>
      </c>
    </row>
    <row r="813" spans="1:12">
      <c r="A813" t="str">
        <f t="shared" si="12"/>
        <v>A111H29</v>
      </c>
      <c r="B813">
        <v>29</v>
      </c>
      <c r="C813">
        <v>318</v>
      </c>
      <c r="D813">
        <v>366.76195018119301</v>
      </c>
      <c r="E813">
        <v>9710</v>
      </c>
      <c r="F813">
        <v>0.86704741275068897</v>
      </c>
      <c r="G813">
        <v>3.27497425334706</v>
      </c>
      <c r="H813" t="s">
        <v>67</v>
      </c>
      <c r="I813" t="s">
        <v>68</v>
      </c>
      <c r="J813" t="s">
        <v>69</v>
      </c>
      <c r="K813">
        <v>17</v>
      </c>
      <c r="L813">
        <v>0.76362612445790101</v>
      </c>
    </row>
    <row r="814" spans="1:12">
      <c r="A814" t="str">
        <f t="shared" si="12"/>
        <v>A210H29</v>
      </c>
      <c r="B814">
        <v>29</v>
      </c>
      <c r="C814">
        <v>267</v>
      </c>
      <c r="D814">
        <v>272.93270012724298</v>
      </c>
      <c r="E814">
        <v>6749</v>
      </c>
      <c r="F814">
        <v>0.97826313913841501</v>
      </c>
      <c r="G814">
        <v>3.9561416506149101</v>
      </c>
      <c r="H814" t="s">
        <v>67</v>
      </c>
      <c r="I814" t="s">
        <v>70</v>
      </c>
      <c r="J814" t="s">
        <v>71</v>
      </c>
      <c r="K814">
        <v>17</v>
      </c>
      <c r="L814">
        <v>0.82302625587232503</v>
      </c>
    </row>
    <row r="815" spans="1:12">
      <c r="A815" t="str">
        <f t="shared" si="12"/>
        <v>B120H29</v>
      </c>
      <c r="B815">
        <v>29</v>
      </c>
      <c r="C815">
        <v>184</v>
      </c>
      <c r="D815">
        <v>185.439711983042</v>
      </c>
      <c r="E815">
        <v>3741</v>
      </c>
      <c r="F815">
        <v>0.99223622616942997</v>
      </c>
      <c r="G815">
        <v>4.9184709970596101</v>
      </c>
      <c r="H815" t="s">
        <v>67</v>
      </c>
      <c r="I815" t="s">
        <v>72</v>
      </c>
      <c r="J815" t="s">
        <v>73</v>
      </c>
      <c r="K815">
        <v>17</v>
      </c>
      <c r="L815">
        <v>0.93832117889394595</v>
      </c>
    </row>
    <row r="816" spans="1:12">
      <c r="A816" t="str">
        <f t="shared" si="12"/>
        <v>C121H29</v>
      </c>
      <c r="B816">
        <v>29</v>
      </c>
      <c r="C816">
        <v>32</v>
      </c>
      <c r="D816">
        <v>25.918491104817601</v>
      </c>
      <c r="E816">
        <v>508</v>
      </c>
      <c r="F816">
        <v>1.2346397739971799</v>
      </c>
      <c r="G816">
        <v>6.2992125984251999</v>
      </c>
      <c r="H816" t="s">
        <v>67</v>
      </c>
      <c r="I816" t="s">
        <v>74</v>
      </c>
      <c r="J816" t="s">
        <v>75</v>
      </c>
      <c r="K816">
        <v>17</v>
      </c>
      <c r="L816">
        <v>1.0417342881235701</v>
      </c>
    </row>
    <row r="817" spans="1:12">
      <c r="A817" t="str">
        <f t="shared" si="12"/>
        <v>C313H29</v>
      </c>
      <c r="B817">
        <v>29</v>
      </c>
      <c r="C817">
        <v>155</v>
      </c>
      <c r="D817">
        <v>184.49035656196301</v>
      </c>
      <c r="E817">
        <v>4522</v>
      </c>
      <c r="F817">
        <v>0.84015231412890401</v>
      </c>
      <c r="G817">
        <v>3.4276868642193699</v>
      </c>
      <c r="H817" t="s">
        <v>67</v>
      </c>
      <c r="I817" t="s">
        <v>76</v>
      </c>
      <c r="J817" t="s">
        <v>77</v>
      </c>
      <c r="K817">
        <v>17</v>
      </c>
      <c r="L817">
        <v>0.89455566496380701</v>
      </c>
    </row>
    <row r="818" spans="1:12">
      <c r="A818" t="str">
        <f t="shared" si="12"/>
        <v>C418H29</v>
      </c>
      <c r="B818">
        <v>29</v>
      </c>
      <c r="C818">
        <v>313</v>
      </c>
      <c r="D818">
        <v>312.12100974263097</v>
      </c>
      <c r="E818">
        <v>7650</v>
      </c>
      <c r="F818">
        <v>1.00281618420399</v>
      </c>
      <c r="G818">
        <v>4.0915032679738603</v>
      </c>
      <c r="H818" t="s">
        <v>67</v>
      </c>
      <c r="I818" t="s">
        <v>78</v>
      </c>
      <c r="J818" t="s">
        <v>79</v>
      </c>
      <c r="K818">
        <v>17</v>
      </c>
      <c r="L818">
        <v>1.0034927074261299</v>
      </c>
    </row>
    <row r="819" spans="1:12">
      <c r="A819" t="str">
        <f t="shared" si="12"/>
        <v>D102H29</v>
      </c>
      <c r="B819">
        <v>29</v>
      </c>
      <c r="C819">
        <v>28</v>
      </c>
      <c r="D819">
        <v>29.4977398936784</v>
      </c>
      <c r="E819">
        <v>5189</v>
      </c>
      <c r="F819">
        <v>0.949225266102528</v>
      </c>
      <c r="G819">
        <v>0.53960300635960701</v>
      </c>
      <c r="H819" t="s">
        <v>67</v>
      </c>
      <c r="I819" t="s">
        <v>80</v>
      </c>
      <c r="J819" t="s">
        <v>81</v>
      </c>
      <c r="K819">
        <v>17</v>
      </c>
      <c r="L819">
        <v>0.98110761539736002</v>
      </c>
    </row>
    <row r="820" spans="1:12">
      <c r="A820" t="str">
        <f t="shared" si="12"/>
        <v>F704H29</v>
      </c>
      <c r="B820">
        <v>29</v>
      </c>
      <c r="C820">
        <v>445</v>
      </c>
      <c r="D820">
        <v>500.53009831928199</v>
      </c>
      <c r="E820">
        <v>9376</v>
      </c>
      <c r="F820">
        <v>0.88905742430725898</v>
      </c>
      <c r="G820">
        <v>4.7461604095563104</v>
      </c>
      <c r="H820" t="s">
        <v>67</v>
      </c>
      <c r="I820" t="s">
        <v>82</v>
      </c>
      <c r="J820" t="s">
        <v>83</v>
      </c>
      <c r="K820">
        <v>17</v>
      </c>
      <c r="L820">
        <v>0.89673700715355498</v>
      </c>
    </row>
    <row r="821" spans="1:12">
      <c r="A821" t="str">
        <f t="shared" si="12"/>
        <v>G107H29</v>
      </c>
      <c r="B821">
        <v>29</v>
      </c>
      <c r="C821">
        <v>450</v>
      </c>
      <c r="D821">
        <v>496.66342912453001</v>
      </c>
      <c r="E821">
        <v>12467</v>
      </c>
      <c r="F821">
        <v>0.90604617455570702</v>
      </c>
      <c r="G821">
        <v>3.6095291569744101</v>
      </c>
      <c r="H821" t="s">
        <v>67</v>
      </c>
      <c r="I821" t="s">
        <v>84</v>
      </c>
      <c r="J821" t="s">
        <v>85</v>
      </c>
      <c r="K821">
        <v>17</v>
      </c>
      <c r="L821">
        <v>0.88164786089237701</v>
      </c>
    </row>
    <row r="822" spans="1:12">
      <c r="A822" t="str">
        <f t="shared" si="12"/>
        <v>G405H29</v>
      </c>
      <c r="B822">
        <v>29</v>
      </c>
      <c r="C822">
        <v>671</v>
      </c>
      <c r="D822">
        <v>723.912352005765</v>
      </c>
      <c r="E822">
        <v>15113</v>
      </c>
      <c r="F822">
        <v>0.92690779227739495</v>
      </c>
      <c r="G822">
        <v>4.4398861906967504</v>
      </c>
      <c r="H822" t="s">
        <v>67</v>
      </c>
      <c r="I822" t="s">
        <v>86</v>
      </c>
      <c r="J822" t="s">
        <v>87</v>
      </c>
      <c r="K822">
        <v>17</v>
      </c>
      <c r="L822">
        <v>0.89642819259669104</v>
      </c>
    </row>
    <row r="823" spans="1:12">
      <c r="A823" t="str">
        <f t="shared" si="12"/>
        <v>H103H29</v>
      </c>
      <c r="B823">
        <v>29</v>
      </c>
      <c r="C823">
        <v>27</v>
      </c>
      <c r="D823">
        <v>38.733272340897301</v>
      </c>
      <c r="E823">
        <v>797</v>
      </c>
      <c r="F823">
        <v>0.69707510799420702</v>
      </c>
      <c r="G823">
        <v>3.3877038895859499</v>
      </c>
      <c r="H823" t="s">
        <v>67</v>
      </c>
      <c r="I823" t="s">
        <v>88</v>
      </c>
      <c r="J823" t="s">
        <v>89</v>
      </c>
      <c r="K823">
        <v>17</v>
      </c>
      <c r="L823">
        <v>0.88518759042051098</v>
      </c>
    </row>
    <row r="824" spans="1:12">
      <c r="A824" t="str">
        <f t="shared" si="12"/>
        <v>H202H29</v>
      </c>
      <c r="B824">
        <v>29</v>
      </c>
      <c r="C824">
        <v>219</v>
      </c>
      <c r="D824">
        <v>233.87318008176001</v>
      </c>
      <c r="E824">
        <v>6936</v>
      </c>
      <c r="F824">
        <v>0.93640493503119604</v>
      </c>
      <c r="G824">
        <v>3.1574394463667801</v>
      </c>
      <c r="H824" t="s">
        <v>67</v>
      </c>
      <c r="I824" t="s">
        <v>90</v>
      </c>
      <c r="J824" t="s">
        <v>91</v>
      </c>
      <c r="K824">
        <v>17</v>
      </c>
      <c r="L824">
        <v>0.847749919527371</v>
      </c>
    </row>
    <row r="825" spans="1:12">
      <c r="A825" t="str">
        <f t="shared" si="12"/>
        <v>H212H29</v>
      </c>
      <c r="B825">
        <v>29</v>
      </c>
      <c r="C825">
        <v>30</v>
      </c>
      <c r="D825">
        <v>23.673838544507699</v>
      </c>
      <c r="E825">
        <v>380</v>
      </c>
      <c r="F825">
        <v>1.2672216186487399</v>
      </c>
      <c r="G825">
        <v>7.8947368421052602</v>
      </c>
      <c r="H825" t="s">
        <v>67</v>
      </c>
      <c r="I825" t="s">
        <v>92</v>
      </c>
      <c r="J825" t="s">
        <v>93</v>
      </c>
      <c r="K825">
        <v>17</v>
      </c>
      <c r="L825">
        <v>1.1117061936472601</v>
      </c>
    </row>
    <row r="826" spans="1:12">
      <c r="A826" t="str">
        <f t="shared" si="12"/>
        <v>L106H29</v>
      </c>
      <c r="B826">
        <v>29</v>
      </c>
      <c r="C826">
        <v>304</v>
      </c>
      <c r="D826">
        <v>332.10761154979798</v>
      </c>
      <c r="E826">
        <v>8222</v>
      </c>
      <c r="F826">
        <v>0.91536595196167903</v>
      </c>
      <c r="G826">
        <v>3.6973972269520798</v>
      </c>
      <c r="H826" t="s">
        <v>67</v>
      </c>
      <c r="I826" t="s">
        <v>94</v>
      </c>
      <c r="J826" t="s">
        <v>95</v>
      </c>
      <c r="K826">
        <v>17</v>
      </c>
      <c r="L826">
        <v>0.79024410499232001</v>
      </c>
    </row>
    <row r="827" spans="1:12">
      <c r="A827" t="str">
        <f t="shared" si="12"/>
        <v>L302H29</v>
      </c>
      <c r="B827">
        <v>29</v>
      </c>
      <c r="C827">
        <v>255</v>
      </c>
      <c r="D827">
        <v>312.65218445408198</v>
      </c>
      <c r="E827">
        <v>7537</v>
      </c>
      <c r="F827">
        <v>0.81560280938146201</v>
      </c>
      <c r="G827">
        <v>3.3833090088894799</v>
      </c>
      <c r="H827" t="s">
        <v>67</v>
      </c>
      <c r="I827" t="s">
        <v>96</v>
      </c>
      <c r="J827" t="s">
        <v>97</v>
      </c>
      <c r="K827">
        <v>17</v>
      </c>
      <c r="L827">
        <v>0.77977718370999205</v>
      </c>
    </row>
    <row r="828" spans="1:12">
      <c r="A828" t="str">
        <f t="shared" si="12"/>
        <v>L308H29</v>
      </c>
      <c r="B828">
        <v>29</v>
      </c>
      <c r="C828">
        <v>319</v>
      </c>
      <c r="D828">
        <v>364.38389982327902</v>
      </c>
      <c r="E828">
        <v>10231</v>
      </c>
      <c r="F828">
        <v>0.87545031532598105</v>
      </c>
      <c r="G828">
        <v>3.1179747825236999</v>
      </c>
      <c r="H828" t="s">
        <v>67</v>
      </c>
      <c r="I828" t="s">
        <v>98</v>
      </c>
      <c r="J828" t="s">
        <v>99</v>
      </c>
      <c r="K828">
        <v>17</v>
      </c>
      <c r="L828">
        <v>0.75901474409414005</v>
      </c>
    </row>
    <row r="829" spans="1:12">
      <c r="A829" t="str">
        <f t="shared" si="12"/>
        <v>N101H29</v>
      </c>
      <c r="B829">
        <v>29</v>
      </c>
      <c r="C829">
        <v>540</v>
      </c>
      <c r="D829">
        <v>568.19167240169395</v>
      </c>
      <c r="E829">
        <v>13007</v>
      </c>
      <c r="F829">
        <v>0.95038351709286695</v>
      </c>
      <c r="G829">
        <v>4.1516106711770604</v>
      </c>
      <c r="H829" t="s">
        <v>67</v>
      </c>
      <c r="I829" t="s">
        <v>100</v>
      </c>
      <c r="J829" t="s">
        <v>101</v>
      </c>
      <c r="K829">
        <v>17</v>
      </c>
      <c r="L829">
        <v>0.89064760657276298</v>
      </c>
    </row>
    <row r="830" spans="1:12">
      <c r="A830" t="str">
        <f t="shared" si="12"/>
        <v>N411H29</v>
      </c>
      <c r="B830">
        <v>29</v>
      </c>
      <c r="C830">
        <v>93</v>
      </c>
      <c r="D830">
        <v>89.954135026553999</v>
      </c>
      <c r="E830">
        <v>2872</v>
      </c>
      <c r="F830">
        <v>1.03386019967339</v>
      </c>
      <c r="G830">
        <v>3.2381615598885798</v>
      </c>
      <c r="H830" t="s">
        <v>67</v>
      </c>
      <c r="I830" t="s">
        <v>102</v>
      </c>
      <c r="J830" t="s">
        <v>103</v>
      </c>
      <c r="K830">
        <v>17</v>
      </c>
      <c r="L830">
        <v>1.0331499794919301</v>
      </c>
    </row>
    <row r="831" spans="1:12">
      <c r="A831" t="str">
        <f t="shared" si="12"/>
        <v>R101H29</v>
      </c>
      <c r="B831">
        <v>29</v>
      </c>
      <c r="C831">
        <v>24</v>
      </c>
      <c r="D831">
        <v>32.532926577221502</v>
      </c>
      <c r="E831">
        <v>810</v>
      </c>
      <c r="F831">
        <v>0.73771414148778203</v>
      </c>
      <c r="G831">
        <v>2.9629629629629601</v>
      </c>
      <c r="H831" t="s">
        <v>67</v>
      </c>
      <c r="I831" t="s">
        <v>104</v>
      </c>
      <c r="J831" t="s">
        <v>105</v>
      </c>
      <c r="K831">
        <v>17</v>
      </c>
      <c r="L831">
        <v>0.86525769166049504</v>
      </c>
    </row>
    <row r="832" spans="1:12">
      <c r="A832" t="str">
        <f t="shared" ref="A832:A895" si="13">CONCATENATE(I832, B832)</f>
        <v>S116H29</v>
      </c>
      <c r="B832">
        <v>29</v>
      </c>
      <c r="C832">
        <v>252</v>
      </c>
      <c r="D832">
        <v>342.67014482756002</v>
      </c>
      <c r="E832">
        <v>6804</v>
      </c>
      <c r="F832">
        <v>0.73540109578794</v>
      </c>
      <c r="G832">
        <v>3.7037037037037002</v>
      </c>
      <c r="H832" t="s">
        <v>67</v>
      </c>
      <c r="I832" t="s">
        <v>106</v>
      </c>
      <c r="J832" t="s">
        <v>107</v>
      </c>
      <c r="K832">
        <v>17</v>
      </c>
      <c r="L832">
        <v>0.67930852108107997</v>
      </c>
    </row>
    <row r="833" spans="1:12">
      <c r="A833" t="str">
        <f t="shared" si="13"/>
        <v>S308H29</v>
      </c>
      <c r="B833">
        <v>29</v>
      </c>
      <c r="C833">
        <v>178</v>
      </c>
      <c r="D833">
        <v>222.35828642752401</v>
      </c>
      <c r="E833">
        <v>6876</v>
      </c>
      <c r="F833">
        <v>0.80050985668131502</v>
      </c>
      <c r="G833">
        <v>2.5887143688190801</v>
      </c>
      <c r="H833" t="s">
        <v>67</v>
      </c>
      <c r="I833" t="s">
        <v>108</v>
      </c>
      <c r="J833" t="s">
        <v>109</v>
      </c>
      <c r="K833">
        <v>17</v>
      </c>
      <c r="L833">
        <v>0.75780099473340301</v>
      </c>
    </row>
    <row r="834" spans="1:12">
      <c r="A834" t="str">
        <f t="shared" si="13"/>
        <v>S314H29</v>
      </c>
      <c r="B834">
        <v>29</v>
      </c>
      <c r="C834">
        <v>439</v>
      </c>
      <c r="D834">
        <v>486.22841196239398</v>
      </c>
      <c r="E834">
        <v>10819</v>
      </c>
      <c r="F834">
        <v>0.90286784811323095</v>
      </c>
      <c r="G834">
        <v>4.0576763101950304</v>
      </c>
      <c r="H834" t="s">
        <v>67</v>
      </c>
      <c r="I834" t="s">
        <v>110</v>
      </c>
      <c r="J834" t="s">
        <v>111</v>
      </c>
      <c r="K834">
        <v>17</v>
      </c>
      <c r="L834">
        <v>0.84639124057538295</v>
      </c>
    </row>
    <row r="835" spans="1:12">
      <c r="A835" t="str">
        <f t="shared" si="13"/>
        <v>T101H29</v>
      </c>
      <c r="B835">
        <v>29</v>
      </c>
      <c r="C835">
        <v>433</v>
      </c>
      <c r="D835">
        <v>489.86785627966799</v>
      </c>
      <c r="E835">
        <v>11291</v>
      </c>
      <c r="F835">
        <v>0.88391184367238496</v>
      </c>
      <c r="G835">
        <v>3.83491276237711</v>
      </c>
      <c r="H835" t="s">
        <v>67</v>
      </c>
      <c r="I835" t="s">
        <v>112</v>
      </c>
      <c r="J835" t="s">
        <v>113</v>
      </c>
      <c r="K835">
        <v>17</v>
      </c>
      <c r="L835">
        <v>0.82883475313173405</v>
      </c>
    </row>
    <row r="836" spans="1:12">
      <c r="A836" t="str">
        <f t="shared" si="13"/>
        <v>T202H29</v>
      </c>
      <c r="B836">
        <v>29</v>
      </c>
      <c r="C836">
        <v>146</v>
      </c>
      <c r="D836">
        <v>158.421673386294</v>
      </c>
      <c r="E836">
        <v>2550</v>
      </c>
      <c r="F836">
        <v>0.92159107323651701</v>
      </c>
      <c r="G836">
        <v>5.7254901960784297</v>
      </c>
      <c r="H836" t="s">
        <v>67</v>
      </c>
      <c r="I836" t="s">
        <v>114</v>
      </c>
      <c r="J836" t="s">
        <v>115</v>
      </c>
      <c r="K836">
        <v>17</v>
      </c>
      <c r="L836">
        <v>0.89939309941377499</v>
      </c>
    </row>
    <row r="837" spans="1:12">
      <c r="A837" t="str">
        <f t="shared" si="13"/>
        <v>T312H29</v>
      </c>
      <c r="B837">
        <v>29</v>
      </c>
      <c r="C837">
        <v>1</v>
      </c>
      <c r="D837">
        <v>2.5710045197450899</v>
      </c>
      <c r="E837">
        <v>1137</v>
      </c>
      <c r="F837">
        <v>0.38895303073957599</v>
      </c>
      <c r="G837">
        <v>8.7950747581354405E-2</v>
      </c>
      <c r="H837" t="s">
        <v>67</v>
      </c>
      <c r="I837" t="s">
        <v>116</v>
      </c>
      <c r="J837" t="s">
        <v>117</v>
      </c>
      <c r="K837">
        <v>17</v>
      </c>
      <c r="L837">
        <v>0.76784920340075902</v>
      </c>
    </row>
    <row r="838" spans="1:12">
      <c r="A838" t="str">
        <f t="shared" si="13"/>
        <v>V217H29</v>
      </c>
      <c r="B838">
        <v>29</v>
      </c>
      <c r="C838">
        <v>392</v>
      </c>
      <c r="D838">
        <v>374.22403848370698</v>
      </c>
      <c r="E838">
        <v>8082</v>
      </c>
      <c r="F838">
        <v>1.0475008542698601</v>
      </c>
      <c r="G838">
        <v>4.850284583024</v>
      </c>
      <c r="H838" t="s">
        <v>67</v>
      </c>
      <c r="I838" t="s">
        <v>118</v>
      </c>
      <c r="J838" t="s">
        <v>119</v>
      </c>
      <c r="K838">
        <v>17</v>
      </c>
      <c r="L838">
        <v>0.97727176101338598</v>
      </c>
    </row>
    <row r="839" spans="1:12">
      <c r="A839" t="str">
        <f t="shared" si="13"/>
        <v>W107H29</v>
      </c>
      <c r="B839">
        <v>29</v>
      </c>
      <c r="C839">
        <v>30</v>
      </c>
      <c r="D839">
        <v>35.946172322996297</v>
      </c>
      <c r="E839">
        <v>1071</v>
      </c>
      <c r="F839">
        <v>0.83458121021713605</v>
      </c>
      <c r="G839">
        <v>2.8011204481792702</v>
      </c>
      <c r="H839" t="s">
        <v>67</v>
      </c>
      <c r="I839" t="s">
        <v>120</v>
      </c>
      <c r="J839" t="s">
        <v>121</v>
      </c>
      <c r="K839">
        <v>17</v>
      </c>
      <c r="L839">
        <v>0.91838292175145197</v>
      </c>
    </row>
    <row r="840" spans="1:12">
      <c r="A840" t="str">
        <f t="shared" si="13"/>
        <v>Y146H29</v>
      </c>
      <c r="B840">
        <v>29</v>
      </c>
      <c r="C840">
        <v>240</v>
      </c>
      <c r="D840">
        <v>255.47767219678801</v>
      </c>
      <c r="E840">
        <v>5948</v>
      </c>
      <c r="F840">
        <v>0.93941673233633405</v>
      </c>
      <c r="G840">
        <v>4.0349697377269704</v>
      </c>
      <c r="H840" t="s">
        <v>67</v>
      </c>
      <c r="I840" t="s">
        <v>124</v>
      </c>
      <c r="J840" t="s">
        <v>125</v>
      </c>
      <c r="K840">
        <v>17</v>
      </c>
      <c r="L840">
        <v>0.93941673233635903</v>
      </c>
    </row>
    <row r="841" spans="1:12">
      <c r="A841" t="str">
        <f t="shared" si="13"/>
        <v>Z102H29</v>
      </c>
      <c r="B841">
        <v>29</v>
      </c>
      <c r="C841">
        <v>29</v>
      </c>
      <c r="D841">
        <v>23.221790211565001</v>
      </c>
      <c r="E841">
        <v>845</v>
      </c>
      <c r="F841">
        <v>1.24882706009278</v>
      </c>
      <c r="G841">
        <v>3.4319526627218901</v>
      </c>
      <c r="H841" t="s">
        <v>67</v>
      </c>
      <c r="I841" t="s">
        <v>122</v>
      </c>
      <c r="J841" t="s">
        <v>123</v>
      </c>
      <c r="K841">
        <v>17</v>
      </c>
      <c r="L841">
        <v>1.02856712171228</v>
      </c>
    </row>
    <row r="842" spans="1:12">
      <c r="A842" t="str">
        <f t="shared" si="13"/>
        <v>S080000151</v>
      </c>
      <c r="B842">
        <v>1</v>
      </c>
      <c r="C842">
        <v>572</v>
      </c>
      <c r="D842">
        <v>497.94837456826502</v>
      </c>
      <c r="E842">
        <v>17601</v>
      </c>
      <c r="F842">
        <v>1.1487134594945501</v>
      </c>
      <c r="G842">
        <v>3.2498153514004899</v>
      </c>
      <c r="H842" t="s">
        <v>126</v>
      </c>
      <c r="I842" t="s">
        <v>2</v>
      </c>
      <c r="J842" t="s">
        <v>3</v>
      </c>
      <c r="K842">
        <v>0</v>
      </c>
      <c r="L842">
        <v>0.94031214446699096</v>
      </c>
    </row>
    <row r="843" spans="1:12">
      <c r="A843" t="str">
        <f t="shared" si="13"/>
        <v>S080000161</v>
      </c>
      <c r="B843">
        <v>1</v>
      </c>
      <c r="C843">
        <v>135</v>
      </c>
      <c r="D843">
        <v>138.29833017695901</v>
      </c>
      <c r="E843">
        <v>4063</v>
      </c>
      <c r="F843">
        <v>0.97615061459716601</v>
      </c>
      <c r="G843">
        <v>3.3226679793256202</v>
      </c>
      <c r="H843" t="s">
        <v>126</v>
      </c>
      <c r="I843" t="s">
        <v>4</v>
      </c>
      <c r="J843" t="s">
        <v>5</v>
      </c>
      <c r="K843">
        <v>0</v>
      </c>
      <c r="L843">
        <v>0.94071864101235603</v>
      </c>
    </row>
    <row r="844" spans="1:12">
      <c r="A844" t="str">
        <f t="shared" si="13"/>
        <v>S080000171</v>
      </c>
      <c r="B844">
        <v>1</v>
      </c>
      <c r="C844">
        <v>237</v>
      </c>
      <c r="D844">
        <v>215.21423463628801</v>
      </c>
      <c r="E844">
        <v>6814</v>
      </c>
      <c r="F844">
        <v>1.1012282733088301</v>
      </c>
      <c r="G844">
        <v>3.4781332550631099</v>
      </c>
      <c r="H844" t="s">
        <v>126</v>
      </c>
      <c r="I844" t="s">
        <v>6</v>
      </c>
      <c r="J844" t="s">
        <v>7</v>
      </c>
      <c r="K844">
        <v>0</v>
      </c>
      <c r="L844">
        <v>1.08425325625257</v>
      </c>
    </row>
    <row r="845" spans="1:12">
      <c r="A845" t="str">
        <f t="shared" si="13"/>
        <v>S080000181</v>
      </c>
      <c r="B845">
        <v>1</v>
      </c>
      <c r="C845">
        <v>454</v>
      </c>
      <c r="D845">
        <v>377.80224514540799</v>
      </c>
      <c r="E845">
        <v>10988</v>
      </c>
      <c r="F845">
        <v>1.2016868767555</v>
      </c>
      <c r="G845">
        <v>4.1317801237713896</v>
      </c>
      <c r="H845" t="s">
        <v>126</v>
      </c>
      <c r="I845" t="s">
        <v>127</v>
      </c>
      <c r="J845" t="s">
        <v>9</v>
      </c>
      <c r="K845">
        <v>0</v>
      </c>
      <c r="L845">
        <v>0.96138947913866901</v>
      </c>
    </row>
    <row r="846" spans="1:12">
      <c r="A846" t="str">
        <f t="shared" si="13"/>
        <v>S080000191</v>
      </c>
      <c r="B846">
        <v>1</v>
      </c>
      <c r="C846">
        <v>301</v>
      </c>
      <c r="D846">
        <v>247.484233240458</v>
      </c>
      <c r="E846">
        <v>8501</v>
      </c>
      <c r="F846">
        <v>1.21623909555299</v>
      </c>
      <c r="G846">
        <v>3.5407599105987502</v>
      </c>
      <c r="H846" t="s">
        <v>126</v>
      </c>
      <c r="I846" t="s">
        <v>10</v>
      </c>
      <c r="J846" t="s">
        <v>11</v>
      </c>
      <c r="K846">
        <v>0</v>
      </c>
      <c r="L846">
        <v>1.07217697339998</v>
      </c>
    </row>
    <row r="847" spans="1:12">
      <c r="A847" t="str">
        <f t="shared" si="13"/>
        <v>S080000201</v>
      </c>
      <c r="B847">
        <v>1</v>
      </c>
      <c r="C847">
        <v>673</v>
      </c>
      <c r="D847">
        <v>623.20409445980602</v>
      </c>
      <c r="E847">
        <v>22337</v>
      </c>
      <c r="F847">
        <v>1.0799030461816199</v>
      </c>
      <c r="G847">
        <v>3.01293817432959</v>
      </c>
      <c r="H847" t="s">
        <v>126</v>
      </c>
      <c r="I847" t="s">
        <v>12</v>
      </c>
      <c r="J847" t="s">
        <v>13</v>
      </c>
      <c r="K847">
        <v>0</v>
      </c>
      <c r="L847">
        <v>0.98998047285394597</v>
      </c>
    </row>
    <row r="848" spans="1:12">
      <c r="A848" t="str">
        <f t="shared" si="13"/>
        <v>S080000211</v>
      </c>
      <c r="B848">
        <v>1</v>
      </c>
      <c r="C848">
        <v>1826</v>
      </c>
      <c r="D848">
        <v>1659.0631897826199</v>
      </c>
      <c r="E848">
        <v>68860</v>
      </c>
      <c r="F848">
        <v>1.1006211283846601</v>
      </c>
      <c r="G848">
        <v>2.6517571884983999</v>
      </c>
      <c r="H848" t="s">
        <v>126</v>
      </c>
      <c r="I848" t="s">
        <v>14</v>
      </c>
      <c r="J848" t="s">
        <v>15</v>
      </c>
      <c r="K848">
        <v>0</v>
      </c>
      <c r="L848">
        <v>0.978103023440416</v>
      </c>
    </row>
    <row r="849" spans="1:12">
      <c r="A849" t="str">
        <f t="shared" si="13"/>
        <v>S080000221</v>
      </c>
      <c r="B849">
        <v>1</v>
      </c>
      <c r="C849">
        <v>359</v>
      </c>
      <c r="D849">
        <v>329.45425249940598</v>
      </c>
      <c r="E849">
        <v>11277</v>
      </c>
      <c r="F849">
        <v>1.08968088065777</v>
      </c>
      <c r="G849">
        <v>3.18347078123614</v>
      </c>
      <c r="H849" t="s">
        <v>126</v>
      </c>
      <c r="I849" t="s">
        <v>16</v>
      </c>
      <c r="J849" t="s">
        <v>17</v>
      </c>
      <c r="K849">
        <v>0</v>
      </c>
      <c r="L849">
        <v>0.96316143687486999</v>
      </c>
    </row>
    <row r="850" spans="1:12">
      <c r="A850" t="str">
        <f t="shared" si="13"/>
        <v>S080000231</v>
      </c>
      <c r="B850">
        <v>1</v>
      </c>
      <c r="C850">
        <v>739</v>
      </c>
      <c r="D850">
        <v>595.82723571687302</v>
      </c>
      <c r="E850">
        <v>22208</v>
      </c>
      <c r="F850">
        <v>1.2402924131369499</v>
      </c>
      <c r="G850">
        <v>3.3276296829971201</v>
      </c>
      <c r="H850" t="s">
        <v>126</v>
      </c>
      <c r="I850" t="s">
        <v>18</v>
      </c>
      <c r="J850" t="s">
        <v>19</v>
      </c>
      <c r="K850">
        <v>0</v>
      </c>
      <c r="L850">
        <v>1.00607068015676</v>
      </c>
    </row>
    <row r="851" spans="1:12">
      <c r="A851" t="str">
        <f t="shared" si="13"/>
        <v>S080000241</v>
      </c>
      <c r="B851">
        <v>1</v>
      </c>
      <c r="C851">
        <v>991</v>
      </c>
      <c r="D851">
        <v>977.02178005646601</v>
      </c>
      <c r="E851">
        <v>31186</v>
      </c>
      <c r="F851">
        <v>1.0143069686151001</v>
      </c>
      <c r="G851">
        <v>3.1777079458731499</v>
      </c>
      <c r="H851" t="s">
        <v>126</v>
      </c>
      <c r="I851" t="s">
        <v>20</v>
      </c>
      <c r="J851" t="s">
        <v>21</v>
      </c>
      <c r="K851">
        <v>0</v>
      </c>
      <c r="L851">
        <v>0.90099832830783799</v>
      </c>
    </row>
    <row r="852" spans="1:12">
      <c r="A852" t="str">
        <f t="shared" si="13"/>
        <v>S080000251</v>
      </c>
      <c r="B852">
        <v>1</v>
      </c>
      <c r="C852">
        <v>27</v>
      </c>
      <c r="D852">
        <v>22.951625199646799</v>
      </c>
      <c r="E852">
        <v>723</v>
      </c>
      <c r="F852">
        <v>1.1763872826058299</v>
      </c>
      <c r="G852">
        <v>3.7344398340248999</v>
      </c>
      <c r="H852" t="s">
        <v>126</v>
      </c>
      <c r="I852" t="s">
        <v>22</v>
      </c>
      <c r="J852" t="s">
        <v>23</v>
      </c>
      <c r="K852">
        <v>0</v>
      </c>
      <c r="L852">
        <v>1.23245129966014</v>
      </c>
    </row>
    <row r="853" spans="1:12">
      <c r="A853" t="str">
        <f t="shared" si="13"/>
        <v>S080000261</v>
      </c>
      <c r="B853">
        <v>1</v>
      </c>
      <c r="C853">
        <v>22</v>
      </c>
      <c r="D853">
        <v>20.6389960574529</v>
      </c>
      <c r="E853">
        <v>868</v>
      </c>
      <c r="F853">
        <v>1.06594332102</v>
      </c>
      <c r="G853">
        <v>2.5345622119815698</v>
      </c>
      <c r="H853" t="s">
        <v>126</v>
      </c>
      <c r="I853" t="s">
        <v>24</v>
      </c>
      <c r="J853" t="s">
        <v>25</v>
      </c>
      <c r="K853">
        <v>0</v>
      </c>
      <c r="L853">
        <v>1.02324738165569</v>
      </c>
    </row>
    <row r="854" spans="1:12">
      <c r="A854" t="str">
        <f t="shared" si="13"/>
        <v>S080000271</v>
      </c>
      <c r="B854">
        <v>1</v>
      </c>
      <c r="C854">
        <v>587</v>
      </c>
      <c r="D854">
        <v>584.06588219452794</v>
      </c>
      <c r="E854">
        <v>16986</v>
      </c>
      <c r="F854">
        <v>1.0050236076013299</v>
      </c>
      <c r="G854">
        <v>3.4557871188037201</v>
      </c>
      <c r="H854" t="s">
        <v>126</v>
      </c>
      <c r="I854" t="s">
        <v>128</v>
      </c>
      <c r="J854" t="s">
        <v>27</v>
      </c>
      <c r="K854">
        <v>0</v>
      </c>
      <c r="L854">
        <v>0.94549533000505404</v>
      </c>
    </row>
    <row r="855" spans="1:12">
      <c r="A855" t="str">
        <f t="shared" si="13"/>
        <v>S080000281</v>
      </c>
      <c r="B855">
        <v>1</v>
      </c>
      <c r="C855">
        <v>26</v>
      </c>
      <c r="D855">
        <v>16.864939723584001</v>
      </c>
      <c r="E855">
        <v>1190</v>
      </c>
      <c r="F855">
        <v>1.54165982364238</v>
      </c>
      <c r="G855">
        <v>2.1848739495798299</v>
      </c>
      <c r="H855" t="s">
        <v>126</v>
      </c>
      <c r="I855" t="s">
        <v>28</v>
      </c>
      <c r="J855" t="s">
        <v>29</v>
      </c>
      <c r="K855">
        <v>0</v>
      </c>
      <c r="L855">
        <v>1.2486115386023</v>
      </c>
    </row>
    <row r="856" spans="1:12">
      <c r="A856" t="str">
        <f t="shared" si="13"/>
        <v>S081000011</v>
      </c>
      <c r="B856">
        <v>1</v>
      </c>
      <c r="C856">
        <v>24</v>
      </c>
      <c r="D856">
        <v>31.1908075637763</v>
      </c>
      <c r="E856">
        <v>3381</v>
      </c>
      <c r="F856">
        <v>0.76945747399860798</v>
      </c>
      <c r="G856">
        <v>0.70984915705412599</v>
      </c>
      <c r="H856" t="s">
        <v>126</v>
      </c>
      <c r="I856" t="s">
        <v>30</v>
      </c>
      <c r="J856" t="s">
        <v>129</v>
      </c>
      <c r="K856">
        <v>0</v>
      </c>
      <c r="L856">
        <v>0.81484672133748104</v>
      </c>
    </row>
    <row r="857" spans="1:12">
      <c r="A857" t="str">
        <f t="shared" si="13"/>
        <v>S080000152</v>
      </c>
      <c r="B857">
        <v>2</v>
      </c>
      <c r="C857">
        <v>435</v>
      </c>
      <c r="D857">
        <v>459.60281128549502</v>
      </c>
      <c r="E857">
        <v>17010</v>
      </c>
      <c r="F857">
        <v>0.94646940644970801</v>
      </c>
      <c r="G857">
        <v>2.55731922398589</v>
      </c>
      <c r="H857" t="s">
        <v>126</v>
      </c>
      <c r="I857" t="s">
        <v>2</v>
      </c>
      <c r="J857" t="s">
        <v>3</v>
      </c>
      <c r="K857">
        <v>0</v>
      </c>
      <c r="L857">
        <v>0.94031214446699096</v>
      </c>
    </row>
    <row r="858" spans="1:12">
      <c r="A858" t="str">
        <f t="shared" si="13"/>
        <v>S080000162</v>
      </c>
      <c r="B858">
        <v>2</v>
      </c>
      <c r="C858">
        <v>126</v>
      </c>
      <c r="D858">
        <v>135.99329269155501</v>
      </c>
      <c r="E858">
        <v>4082</v>
      </c>
      <c r="F858">
        <v>0.92651628257711005</v>
      </c>
      <c r="G858">
        <v>3.0867221950024502</v>
      </c>
      <c r="H858" t="s">
        <v>126</v>
      </c>
      <c r="I858" t="s">
        <v>4</v>
      </c>
      <c r="J858" t="s">
        <v>5</v>
      </c>
      <c r="K858">
        <v>0</v>
      </c>
      <c r="L858">
        <v>0.94071864101235603</v>
      </c>
    </row>
    <row r="859" spans="1:12">
      <c r="A859" t="str">
        <f t="shared" si="13"/>
        <v>S080000172</v>
      </c>
      <c r="B859">
        <v>2</v>
      </c>
      <c r="C859">
        <v>209</v>
      </c>
      <c r="D859">
        <v>196.50294888003</v>
      </c>
      <c r="E859">
        <v>6547</v>
      </c>
      <c r="F859">
        <v>1.06359727012341</v>
      </c>
      <c r="G859">
        <v>3.1923018176263902</v>
      </c>
      <c r="H859" t="s">
        <v>126</v>
      </c>
      <c r="I859" t="s">
        <v>6</v>
      </c>
      <c r="J859" t="s">
        <v>7</v>
      </c>
      <c r="K859">
        <v>0</v>
      </c>
      <c r="L859">
        <v>1.08425325625257</v>
      </c>
    </row>
    <row r="860" spans="1:12">
      <c r="A860" t="str">
        <f t="shared" si="13"/>
        <v>S080000182</v>
      </c>
      <c r="B860">
        <v>2</v>
      </c>
      <c r="C860">
        <v>390</v>
      </c>
      <c r="D860">
        <v>386.97949067465299</v>
      </c>
      <c r="E860">
        <v>10677</v>
      </c>
      <c r="F860">
        <v>1.00780534730686</v>
      </c>
      <c r="G860">
        <v>3.65271143579657</v>
      </c>
      <c r="H860" t="s">
        <v>126</v>
      </c>
      <c r="I860" t="s">
        <v>127</v>
      </c>
      <c r="J860" t="s">
        <v>9</v>
      </c>
      <c r="K860">
        <v>0</v>
      </c>
      <c r="L860">
        <v>0.96138947913866901</v>
      </c>
    </row>
    <row r="861" spans="1:12">
      <c r="A861" t="str">
        <f t="shared" si="13"/>
        <v>S080000192</v>
      </c>
      <c r="B861">
        <v>2</v>
      </c>
      <c r="C861">
        <v>277</v>
      </c>
      <c r="D861">
        <v>246.03754530738499</v>
      </c>
      <c r="E861">
        <v>8100</v>
      </c>
      <c r="F861">
        <v>1.12584443018212</v>
      </c>
      <c r="G861">
        <v>3.4197530864197501</v>
      </c>
      <c r="H861" t="s">
        <v>126</v>
      </c>
      <c r="I861" t="s">
        <v>10</v>
      </c>
      <c r="J861" t="s">
        <v>11</v>
      </c>
      <c r="K861">
        <v>0</v>
      </c>
      <c r="L861">
        <v>1.07217697339998</v>
      </c>
    </row>
    <row r="862" spans="1:12">
      <c r="A862" t="str">
        <f t="shared" si="13"/>
        <v>S080000202</v>
      </c>
      <c r="B862">
        <v>2</v>
      </c>
      <c r="C862">
        <v>541</v>
      </c>
      <c r="D862">
        <v>568.95096784974203</v>
      </c>
      <c r="E862">
        <v>21880</v>
      </c>
      <c r="F862">
        <v>0.95087280024256204</v>
      </c>
      <c r="G862">
        <v>2.47257769652651</v>
      </c>
      <c r="H862" t="s">
        <v>126</v>
      </c>
      <c r="I862" t="s">
        <v>12</v>
      </c>
      <c r="J862" t="s">
        <v>13</v>
      </c>
      <c r="K862">
        <v>0</v>
      </c>
      <c r="L862">
        <v>0.98998047285394597</v>
      </c>
    </row>
    <row r="863" spans="1:12">
      <c r="A863" t="str">
        <f t="shared" si="13"/>
        <v>S080000212</v>
      </c>
      <c r="B863">
        <v>2</v>
      </c>
      <c r="C863">
        <v>1552</v>
      </c>
      <c r="D863">
        <v>1545.47739318047</v>
      </c>
      <c r="E863">
        <v>65515</v>
      </c>
      <c r="F863">
        <v>1.00422044790063</v>
      </c>
      <c r="G863">
        <v>2.3689231473708299</v>
      </c>
      <c r="H863" t="s">
        <v>126</v>
      </c>
      <c r="I863" t="s">
        <v>14</v>
      </c>
      <c r="J863" t="s">
        <v>15</v>
      </c>
      <c r="K863">
        <v>0</v>
      </c>
      <c r="L863">
        <v>0.978103023440416</v>
      </c>
    </row>
    <row r="864" spans="1:12">
      <c r="A864" t="str">
        <f t="shared" si="13"/>
        <v>S080000222</v>
      </c>
      <c r="B864">
        <v>2</v>
      </c>
      <c r="C864">
        <v>312</v>
      </c>
      <c r="D864">
        <v>297.56281943597099</v>
      </c>
      <c r="E864">
        <v>10707</v>
      </c>
      <c r="F864">
        <v>1.0485180930581099</v>
      </c>
      <c r="G864">
        <v>2.9139815074250501</v>
      </c>
      <c r="H864" t="s">
        <v>126</v>
      </c>
      <c r="I864" t="s">
        <v>16</v>
      </c>
      <c r="J864" t="s">
        <v>17</v>
      </c>
      <c r="K864">
        <v>0</v>
      </c>
      <c r="L864">
        <v>0.96316143687486999</v>
      </c>
    </row>
    <row r="865" spans="1:12">
      <c r="A865" t="str">
        <f t="shared" si="13"/>
        <v>S080000232</v>
      </c>
      <c r="B865">
        <v>2</v>
      </c>
      <c r="C865">
        <v>659</v>
      </c>
      <c r="D865">
        <v>604.85117740953399</v>
      </c>
      <c r="E865">
        <v>22173</v>
      </c>
      <c r="F865">
        <v>1.08952420795868</v>
      </c>
      <c r="G865">
        <v>2.97208316420872</v>
      </c>
      <c r="H865" t="s">
        <v>126</v>
      </c>
      <c r="I865" t="s">
        <v>18</v>
      </c>
      <c r="J865" t="s">
        <v>19</v>
      </c>
      <c r="K865">
        <v>0</v>
      </c>
      <c r="L865">
        <v>1.00607068015676</v>
      </c>
    </row>
    <row r="866" spans="1:12">
      <c r="A866" t="str">
        <f t="shared" si="13"/>
        <v>S080000242</v>
      </c>
      <c r="B866">
        <v>2</v>
      </c>
      <c r="C866">
        <v>863</v>
      </c>
      <c r="D866">
        <v>933.65374282360801</v>
      </c>
      <c r="E866">
        <v>29936</v>
      </c>
      <c r="F866">
        <v>0.92432553999094702</v>
      </c>
      <c r="G866">
        <v>2.8828166755745599</v>
      </c>
      <c r="H866" t="s">
        <v>126</v>
      </c>
      <c r="I866" t="s">
        <v>20</v>
      </c>
      <c r="J866" t="s">
        <v>21</v>
      </c>
      <c r="K866">
        <v>0</v>
      </c>
      <c r="L866">
        <v>0.90099832830783799</v>
      </c>
    </row>
    <row r="867" spans="1:12">
      <c r="A867" t="str">
        <f t="shared" si="13"/>
        <v>S080000252</v>
      </c>
      <c r="B867">
        <v>2</v>
      </c>
      <c r="C867">
        <v>30</v>
      </c>
      <c r="D867">
        <v>19.806383287780498</v>
      </c>
      <c r="E867">
        <v>777</v>
      </c>
      <c r="F867">
        <v>1.5146632054984199</v>
      </c>
      <c r="G867">
        <v>3.8610038610038599</v>
      </c>
      <c r="H867" t="s">
        <v>126</v>
      </c>
      <c r="I867" t="s">
        <v>22</v>
      </c>
      <c r="J867" t="s">
        <v>23</v>
      </c>
      <c r="K867">
        <v>0</v>
      </c>
      <c r="L867">
        <v>1.23245129966014</v>
      </c>
    </row>
    <row r="868" spans="1:12">
      <c r="A868" t="str">
        <f t="shared" si="13"/>
        <v>S080000262</v>
      </c>
      <c r="B868">
        <v>2</v>
      </c>
      <c r="C868">
        <v>26</v>
      </c>
      <c r="D868">
        <v>21.492041169510799</v>
      </c>
      <c r="E868">
        <v>976</v>
      </c>
      <c r="F868">
        <v>1.20975014866826</v>
      </c>
      <c r="G868">
        <v>2.6639344262295102</v>
      </c>
      <c r="H868" t="s">
        <v>126</v>
      </c>
      <c r="I868" t="s">
        <v>24</v>
      </c>
      <c r="J868" t="s">
        <v>25</v>
      </c>
      <c r="K868">
        <v>0</v>
      </c>
      <c r="L868">
        <v>1.02324738165569</v>
      </c>
    </row>
    <row r="869" spans="1:12">
      <c r="A869" t="str">
        <f t="shared" si="13"/>
        <v>S080000272</v>
      </c>
      <c r="B869">
        <v>2</v>
      </c>
      <c r="C869">
        <v>548</v>
      </c>
      <c r="D869">
        <v>553.12428643009002</v>
      </c>
      <c r="E869">
        <v>16140</v>
      </c>
      <c r="F869">
        <v>0.99073574139518805</v>
      </c>
      <c r="G869">
        <v>3.39529120198265</v>
      </c>
      <c r="H869" t="s">
        <v>126</v>
      </c>
      <c r="I869" t="s">
        <v>128</v>
      </c>
      <c r="J869" t="s">
        <v>27</v>
      </c>
      <c r="K869">
        <v>0</v>
      </c>
      <c r="L869">
        <v>0.94549533000505404</v>
      </c>
    </row>
    <row r="870" spans="1:12">
      <c r="A870" t="str">
        <f t="shared" si="13"/>
        <v>S080000282</v>
      </c>
      <c r="B870">
        <v>2</v>
      </c>
      <c r="C870">
        <v>40</v>
      </c>
      <c r="D870">
        <v>21.841411433858799</v>
      </c>
      <c r="E870">
        <v>1179</v>
      </c>
      <c r="F870">
        <v>1.831383476344</v>
      </c>
      <c r="G870">
        <v>3.3927056827820201</v>
      </c>
      <c r="H870" t="s">
        <v>126</v>
      </c>
      <c r="I870" t="s">
        <v>28</v>
      </c>
      <c r="J870" t="s">
        <v>29</v>
      </c>
      <c r="K870">
        <v>0</v>
      </c>
      <c r="L870">
        <v>1.2486115386023</v>
      </c>
    </row>
    <row r="871" spans="1:12">
      <c r="A871" t="str">
        <f t="shared" si="13"/>
        <v>S081000012</v>
      </c>
      <c r="B871">
        <v>2</v>
      </c>
      <c r="C871">
        <v>23</v>
      </c>
      <c r="D871">
        <v>27.920959486368901</v>
      </c>
      <c r="E871">
        <v>2982</v>
      </c>
      <c r="F871">
        <v>0.82375392619400001</v>
      </c>
      <c r="G871">
        <v>0.77129443326626401</v>
      </c>
      <c r="H871" t="s">
        <v>126</v>
      </c>
      <c r="I871" t="s">
        <v>30</v>
      </c>
      <c r="J871" t="s">
        <v>129</v>
      </c>
      <c r="K871">
        <v>0</v>
      </c>
      <c r="L871">
        <v>0.81484672133748104</v>
      </c>
    </row>
    <row r="872" spans="1:12">
      <c r="A872" t="str">
        <f t="shared" si="13"/>
        <v>S080000153</v>
      </c>
      <c r="B872">
        <v>3</v>
      </c>
      <c r="C872">
        <v>437</v>
      </c>
      <c r="D872">
        <v>464.04157127992403</v>
      </c>
      <c r="E872">
        <v>17382</v>
      </c>
      <c r="F872">
        <v>0.94172597251289902</v>
      </c>
      <c r="G872">
        <v>2.5140950408468501</v>
      </c>
      <c r="H872" t="s">
        <v>126</v>
      </c>
      <c r="I872" t="s">
        <v>2</v>
      </c>
      <c r="J872" t="s">
        <v>3</v>
      </c>
      <c r="K872">
        <v>0</v>
      </c>
      <c r="L872">
        <v>0.94031214446699096</v>
      </c>
    </row>
    <row r="873" spans="1:12">
      <c r="A873" t="str">
        <f t="shared" si="13"/>
        <v>S080000163</v>
      </c>
      <c r="B873">
        <v>3</v>
      </c>
      <c r="C873">
        <v>116</v>
      </c>
      <c r="D873">
        <v>132.11065876836599</v>
      </c>
      <c r="E873">
        <v>4003</v>
      </c>
      <c r="F873">
        <v>0.87805178689924401</v>
      </c>
      <c r="G873">
        <v>2.8978266300274802</v>
      </c>
      <c r="H873" t="s">
        <v>126</v>
      </c>
      <c r="I873" t="s">
        <v>4</v>
      </c>
      <c r="J873" t="s">
        <v>5</v>
      </c>
      <c r="K873">
        <v>0</v>
      </c>
      <c r="L873">
        <v>0.94071864101235603</v>
      </c>
    </row>
    <row r="874" spans="1:12">
      <c r="A874" t="str">
        <f t="shared" si="13"/>
        <v>S080000173</v>
      </c>
      <c r="B874">
        <v>3</v>
      </c>
      <c r="C874">
        <v>203</v>
      </c>
      <c r="D874">
        <v>188.13786357121</v>
      </c>
      <c r="E874">
        <v>6360</v>
      </c>
      <c r="F874">
        <v>1.07899598808384</v>
      </c>
      <c r="G874">
        <v>3.1918238993710699</v>
      </c>
      <c r="H874" t="s">
        <v>126</v>
      </c>
      <c r="I874" t="s">
        <v>6</v>
      </c>
      <c r="J874" t="s">
        <v>7</v>
      </c>
      <c r="K874">
        <v>0</v>
      </c>
      <c r="L874">
        <v>1.08425325625257</v>
      </c>
    </row>
    <row r="875" spans="1:12">
      <c r="A875" t="str">
        <f t="shared" si="13"/>
        <v>S080000183</v>
      </c>
      <c r="B875">
        <v>3</v>
      </c>
      <c r="C875">
        <v>370</v>
      </c>
      <c r="D875">
        <v>363.55697531407299</v>
      </c>
      <c r="E875">
        <v>10621</v>
      </c>
      <c r="F875">
        <v>1.0177221869566999</v>
      </c>
      <c r="G875">
        <v>3.4836644383767998</v>
      </c>
      <c r="H875" t="s">
        <v>126</v>
      </c>
      <c r="I875" t="s">
        <v>127</v>
      </c>
      <c r="J875" t="s">
        <v>9</v>
      </c>
      <c r="K875">
        <v>0</v>
      </c>
      <c r="L875">
        <v>0.96138947913866901</v>
      </c>
    </row>
    <row r="876" spans="1:12">
      <c r="A876" t="str">
        <f t="shared" si="13"/>
        <v>S080000193</v>
      </c>
      <c r="B876">
        <v>3</v>
      </c>
      <c r="C876">
        <v>286</v>
      </c>
      <c r="D876">
        <v>244.700489271538</v>
      </c>
      <c r="E876">
        <v>7815</v>
      </c>
      <c r="F876">
        <v>1.1687757586893599</v>
      </c>
      <c r="G876">
        <v>3.6596289187459998</v>
      </c>
      <c r="H876" t="s">
        <v>126</v>
      </c>
      <c r="I876" t="s">
        <v>10</v>
      </c>
      <c r="J876" t="s">
        <v>11</v>
      </c>
      <c r="K876">
        <v>0</v>
      </c>
      <c r="L876">
        <v>1.07217697339998</v>
      </c>
    </row>
    <row r="877" spans="1:12">
      <c r="A877" t="str">
        <f t="shared" si="13"/>
        <v>S080000203</v>
      </c>
      <c r="B877">
        <v>3</v>
      </c>
      <c r="C877">
        <v>559</v>
      </c>
      <c r="D877">
        <v>572.75263276377495</v>
      </c>
      <c r="E877">
        <v>22410</v>
      </c>
      <c r="F877">
        <v>0.97598852981711703</v>
      </c>
      <c r="G877">
        <v>2.4944221329763501</v>
      </c>
      <c r="H877" t="s">
        <v>126</v>
      </c>
      <c r="I877" t="s">
        <v>12</v>
      </c>
      <c r="J877" t="s">
        <v>13</v>
      </c>
      <c r="K877">
        <v>0</v>
      </c>
      <c r="L877">
        <v>0.98998047285394597</v>
      </c>
    </row>
    <row r="878" spans="1:12">
      <c r="A878" t="str">
        <f t="shared" si="13"/>
        <v>S080000213</v>
      </c>
      <c r="B878">
        <v>3</v>
      </c>
      <c r="C878">
        <v>1479</v>
      </c>
      <c r="D878">
        <v>1540.98637754842</v>
      </c>
      <c r="E878">
        <v>67002</v>
      </c>
      <c r="F878">
        <v>0.95977486988104499</v>
      </c>
      <c r="G878">
        <v>2.2073967941255499</v>
      </c>
      <c r="H878" t="s">
        <v>126</v>
      </c>
      <c r="I878" t="s">
        <v>14</v>
      </c>
      <c r="J878" t="s">
        <v>15</v>
      </c>
      <c r="K878">
        <v>0</v>
      </c>
      <c r="L878">
        <v>0.978103023440416</v>
      </c>
    </row>
    <row r="879" spans="1:12">
      <c r="A879" t="str">
        <f t="shared" si="13"/>
        <v>S080000223</v>
      </c>
      <c r="B879">
        <v>3</v>
      </c>
      <c r="C879">
        <v>324</v>
      </c>
      <c r="D879">
        <v>307.05977918171101</v>
      </c>
      <c r="E879">
        <v>10631</v>
      </c>
      <c r="F879">
        <v>1.0551691298138499</v>
      </c>
      <c r="G879">
        <v>3.04769071583106</v>
      </c>
      <c r="H879" t="s">
        <v>126</v>
      </c>
      <c r="I879" t="s">
        <v>16</v>
      </c>
      <c r="J879" t="s">
        <v>17</v>
      </c>
      <c r="K879">
        <v>0</v>
      </c>
      <c r="L879">
        <v>0.96316143687486999</v>
      </c>
    </row>
    <row r="880" spans="1:12">
      <c r="A880" t="str">
        <f t="shared" si="13"/>
        <v>S080000233</v>
      </c>
      <c r="B880">
        <v>3</v>
      </c>
      <c r="C880">
        <v>685</v>
      </c>
      <c r="D880">
        <v>618.68080748261298</v>
      </c>
      <c r="E880">
        <v>23048</v>
      </c>
      <c r="F880">
        <v>1.1071945205270499</v>
      </c>
      <c r="G880">
        <v>2.9720583130857299</v>
      </c>
      <c r="H880" t="s">
        <v>126</v>
      </c>
      <c r="I880" t="s">
        <v>18</v>
      </c>
      <c r="J880" t="s">
        <v>19</v>
      </c>
      <c r="K880">
        <v>0</v>
      </c>
      <c r="L880">
        <v>1.00607068015676</v>
      </c>
    </row>
    <row r="881" spans="1:12">
      <c r="A881" t="str">
        <f t="shared" si="13"/>
        <v>S080000243</v>
      </c>
      <c r="B881">
        <v>3</v>
      </c>
      <c r="C881">
        <v>858</v>
      </c>
      <c r="D881">
        <v>920.57731685071894</v>
      </c>
      <c r="E881">
        <v>29793</v>
      </c>
      <c r="F881">
        <v>0.93202383362562602</v>
      </c>
      <c r="G881">
        <v>2.8798711106635801</v>
      </c>
      <c r="H881" t="s">
        <v>126</v>
      </c>
      <c r="I881" t="s">
        <v>20</v>
      </c>
      <c r="J881" t="s">
        <v>21</v>
      </c>
      <c r="K881">
        <v>0</v>
      </c>
      <c r="L881">
        <v>0.90099832830783799</v>
      </c>
    </row>
    <row r="882" spans="1:12">
      <c r="A882" t="str">
        <f t="shared" si="13"/>
        <v>S080000253</v>
      </c>
      <c r="B882">
        <v>3</v>
      </c>
      <c r="C882">
        <v>27</v>
      </c>
      <c r="D882">
        <v>17.884166516954799</v>
      </c>
      <c r="E882">
        <v>738</v>
      </c>
      <c r="F882">
        <v>1.50971531015454</v>
      </c>
      <c r="G882">
        <v>3.6585365853658498</v>
      </c>
      <c r="H882" t="s">
        <v>126</v>
      </c>
      <c r="I882" t="s">
        <v>22</v>
      </c>
      <c r="J882" t="s">
        <v>23</v>
      </c>
      <c r="K882">
        <v>0</v>
      </c>
      <c r="L882">
        <v>1.23245129966014</v>
      </c>
    </row>
    <row r="883" spans="1:12">
      <c r="A883" t="str">
        <f t="shared" si="13"/>
        <v>S080000263</v>
      </c>
      <c r="B883">
        <v>3</v>
      </c>
      <c r="C883">
        <v>24</v>
      </c>
      <c r="D883">
        <v>20.760542309506899</v>
      </c>
      <c r="E883">
        <v>860</v>
      </c>
      <c r="F883">
        <v>1.1560391651719799</v>
      </c>
      <c r="G883">
        <v>2.7906976744185998</v>
      </c>
      <c r="H883" t="s">
        <v>126</v>
      </c>
      <c r="I883" t="s">
        <v>24</v>
      </c>
      <c r="J883" t="s">
        <v>25</v>
      </c>
      <c r="K883">
        <v>0</v>
      </c>
      <c r="L883">
        <v>1.02324738165569</v>
      </c>
    </row>
    <row r="884" spans="1:12">
      <c r="A884" t="str">
        <f t="shared" si="13"/>
        <v>S080000273</v>
      </c>
      <c r="B884">
        <v>3</v>
      </c>
      <c r="C884">
        <v>460</v>
      </c>
      <c r="D884">
        <v>531.22362423894697</v>
      </c>
      <c r="E884">
        <v>16094</v>
      </c>
      <c r="F884">
        <v>0.86592534482820804</v>
      </c>
      <c r="G884">
        <v>2.8582080278364601</v>
      </c>
      <c r="H884" t="s">
        <v>126</v>
      </c>
      <c r="I884" t="s">
        <v>128</v>
      </c>
      <c r="J884" t="s">
        <v>27</v>
      </c>
      <c r="K884">
        <v>0</v>
      </c>
      <c r="L884">
        <v>0.94549533000505404</v>
      </c>
    </row>
    <row r="885" spans="1:12">
      <c r="A885" t="str">
        <f t="shared" si="13"/>
        <v>S080000283</v>
      </c>
      <c r="B885">
        <v>3</v>
      </c>
      <c r="C885">
        <v>25</v>
      </c>
      <c r="D885">
        <v>25.5193437977644</v>
      </c>
      <c r="E885">
        <v>1103</v>
      </c>
      <c r="F885">
        <v>0.97964901441510199</v>
      </c>
      <c r="G885">
        <v>2.26654578422484</v>
      </c>
      <c r="H885" t="s">
        <v>126</v>
      </c>
      <c r="I885" t="s">
        <v>28</v>
      </c>
      <c r="J885" t="s">
        <v>29</v>
      </c>
      <c r="K885">
        <v>0</v>
      </c>
      <c r="L885">
        <v>1.2486115386023</v>
      </c>
    </row>
    <row r="886" spans="1:12">
      <c r="A886" t="str">
        <f t="shared" si="13"/>
        <v>S081000013</v>
      </c>
      <c r="B886">
        <v>3</v>
      </c>
      <c r="C886">
        <v>30</v>
      </c>
      <c r="D886">
        <v>31.899345766207801</v>
      </c>
      <c r="E886">
        <v>3169</v>
      </c>
      <c r="F886">
        <v>0.94045815923222398</v>
      </c>
      <c r="G886">
        <v>0.94667087409277395</v>
      </c>
      <c r="H886" t="s">
        <v>126</v>
      </c>
      <c r="I886" t="s">
        <v>30</v>
      </c>
      <c r="J886" t="s">
        <v>129</v>
      </c>
      <c r="K886">
        <v>0</v>
      </c>
      <c r="L886">
        <v>0.81484672133748104</v>
      </c>
    </row>
    <row r="887" spans="1:12">
      <c r="A887" t="str">
        <f t="shared" si="13"/>
        <v>S080000154</v>
      </c>
      <c r="B887">
        <v>4</v>
      </c>
      <c r="C887">
        <v>445</v>
      </c>
      <c r="D887">
        <v>485.61020947993802</v>
      </c>
      <c r="E887">
        <v>17370</v>
      </c>
      <c r="F887">
        <v>0.91637282600909598</v>
      </c>
      <c r="G887">
        <v>2.5618883131836498</v>
      </c>
      <c r="H887" t="s">
        <v>126</v>
      </c>
      <c r="I887" t="s">
        <v>2</v>
      </c>
      <c r="J887" t="s">
        <v>3</v>
      </c>
      <c r="K887">
        <v>0</v>
      </c>
      <c r="L887">
        <v>0.94031214446699096</v>
      </c>
    </row>
    <row r="888" spans="1:12">
      <c r="A888" t="str">
        <f t="shared" si="13"/>
        <v>S080000164</v>
      </c>
      <c r="B888">
        <v>4</v>
      </c>
      <c r="C888">
        <v>123</v>
      </c>
      <c r="D888">
        <v>142.60454024496099</v>
      </c>
      <c r="E888">
        <v>4260</v>
      </c>
      <c r="F888">
        <v>0.86252513271116504</v>
      </c>
      <c r="G888">
        <v>2.8873239436619702</v>
      </c>
      <c r="H888" t="s">
        <v>126</v>
      </c>
      <c r="I888" t="s">
        <v>4</v>
      </c>
      <c r="J888" t="s">
        <v>5</v>
      </c>
      <c r="K888">
        <v>0</v>
      </c>
      <c r="L888">
        <v>0.94071864101235603</v>
      </c>
    </row>
    <row r="889" spans="1:12">
      <c r="A889" t="str">
        <f t="shared" si="13"/>
        <v>S080000174</v>
      </c>
      <c r="B889">
        <v>4</v>
      </c>
      <c r="C889">
        <v>230</v>
      </c>
      <c r="D889">
        <v>202.77221691258899</v>
      </c>
      <c r="E889">
        <v>6292</v>
      </c>
      <c r="F889">
        <v>1.13427768114381</v>
      </c>
      <c r="G889">
        <v>3.65543547361729</v>
      </c>
      <c r="H889" t="s">
        <v>126</v>
      </c>
      <c r="I889" t="s">
        <v>6</v>
      </c>
      <c r="J889" t="s">
        <v>7</v>
      </c>
      <c r="K889">
        <v>0</v>
      </c>
      <c r="L889">
        <v>1.08425325625257</v>
      </c>
    </row>
    <row r="890" spans="1:12">
      <c r="A890" t="str">
        <f t="shared" si="13"/>
        <v>S080000184</v>
      </c>
      <c r="B890">
        <v>4</v>
      </c>
      <c r="C890">
        <v>406</v>
      </c>
      <c r="D890">
        <v>382.19440889614702</v>
      </c>
      <c r="E890">
        <v>10388</v>
      </c>
      <c r="F890">
        <v>1.0622866021839701</v>
      </c>
      <c r="G890">
        <v>3.9083557951482502</v>
      </c>
      <c r="H890" t="s">
        <v>126</v>
      </c>
      <c r="I890" t="s">
        <v>127</v>
      </c>
      <c r="J890" t="s">
        <v>9</v>
      </c>
      <c r="K890">
        <v>0</v>
      </c>
      <c r="L890">
        <v>0.96138947913866901</v>
      </c>
    </row>
    <row r="891" spans="1:12">
      <c r="A891" t="str">
        <f t="shared" si="13"/>
        <v>S080000194</v>
      </c>
      <c r="B891">
        <v>4</v>
      </c>
      <c r="C891">
        <v>274</v>
      </c>
      <c r="D891">
        <v>269.253968399055</v>
      </c>
      <c r="E891">
        <v>8050</v>
      </c>
      <c r="F891">
        <v>1.01762659852022</v>
      </c>
      <c r="G891">
        <v>3.4037267080745299</v>
      </c>
      <c r="H891" t="s">
        <v>126</v>
      </c>
      <c r="I891" t="s">
        <v>10</v>
      </c>
      <c r="J891" t="s">
        <v>11</v>
      </c>
      <c r="K891">
        <v>0</v>
      </c>
      <c r="L891">
        <v>1.07217697339998</v>
      </c>
    </row>
    <row r="892" spans="1:12">
      <c r="A892" t="str">
        <f t="shared" si="13"/>
        <v>S080000204</v>
      </c>
      <c r="B892">
        <v>4</v>
      </c>
      <c r="C892">
        <v>642</v>
      </c>
      <c r="D892">
        <v>641.00455406178298</v>
      </c>
      <c r="E892">
        <v>22319</v>
      </c>
      <c r="F892">
        <v>1.00155294674883</v>
      </c>
      <c r="G892">
        <v>2.8764729602580799</v>
      </c>
      <c r="H892" t="s">
        <v>126</v>
      </c>
      <c r="I892" t="s">
        <v>12</v>
      </c>
      <c r="J892" t="s">
        <v>13</v>
      </c>
      <c r="K892">
        <v>0</v>
      </c>
      <c r="L892">
        <v>0.98998047285394597</v>
      </c>
    </row>
    <row r="893" spans="1:12">
      <c r="A893" t="str">
        <f t="shared" si="13"/>
        <v>S080000214</v>
      </c>
      <c r="B893">
        <v>4</v>
      </c>
      <c r="C893">
        <v>1559</v>
      </c>
      <c r="D893">
        <v>1614.8704211054601</v>
      </c>
      <c r="E893">
        <v>67879</v>
      </c>
      <c r="F893">
        <v>0.96540253609499305</v>
      </c>
      <c r="G893">
        <v>2.2967338941351501</v>
      </c>
      <c r="H893" t="s">
        <v>126</v>
      </c>
      <c r="I893" t="s">
        <v>14</v>
      </c>
      <c r="J893" t="s">
        <v>15</v>
      </c>
      <c r="K893">
        <v>0</v>
      </c>
      <c r="L893">
        <v>0.978103023440416</v>
      </c>
    </row>
    <row r="894" spans="1:12">
      <c r="A894" t="str">
        <f t="shared" si="13"/>
        <v>S080000224</v>
      </c>
      <c r="B894">
        <v>4</v>
      </c>
      <c r="C894">
        <v>344</v>
      </c>
      <c r="D894">
        <v>333.69660016748702</v>
      </c>
      <c r="E894">
        <v>10786</v>
      </c>
      <c r="F894">
        <v>1.0308765502176001</v>
      </c>
      <c r="G894">
        <v>3.1893194882254798</v>
      </c>
      <c r="H894" t="s">
        <v>126</v>
      </c>
      <c r="I894" t="s">
        <v>16</v>
      </c>
      <c r="J894" t="s">
        <v>17</v>
      </c>
      <c r="K894">
        <v>0</v>
      </c>
      <c r="L894">
        <v>0.96316143687486999</v>
      </c>
    </row>
    <row r="895" spans="1:12">
      <c r="A895" t="str">
        <f t="shared" si="13"/>
        <v>S080000234</v>
      </c>
      <c r="B895">
        <v>4</v>
      </c>
      <c r="C895">
        <v>741</v>
      </c>
      <c r="D895">
        <v>647.17649115427002</v>
      </c>
      <c r="E895">
        <v>23576</v>
      </c>
      <c r="F895">
        <v>1.1449736047710699</v>
      </c>
      <c r="G895">
        <v>3.1430268069222902</v>
      </c>
      <c r="H895" t="s">
        <v>126</v>
      </c>
      <c r="I895" t="s">
        <v>18</v>
      </c>
      <c r="J895" t="s">
        <v>19</v>
      </c>
      <c r="K895">
        <v>0</v>
      </c>
      <c r="L895">
        <v>1.00607068015676</v>
      </c>
    </row>
    <row r="896" spans="1:12">
      <c r="A896" t="str">
        <f t="shared" ref="A896:A959" si="14">CONCATENATE(I896, B896)</f>
        <v>S080000244</v>
      </c>
      <c r="B896">
        <v>4</v>
      </c>
      <c r="C896">
        <v>951</v>
      </c>
      <c r="D896">
        <v>990.16073245873599</v>
      </c>
      <c r="E896">
        <v>30460</v>
      </c>
      <c r="F896">
        <v>0.96045012574726896</v>
      </c>
      <c r="G896">
        <v>3.1221273801707201</v>
      </c>
      <c r="H896" t="s">
        <v>126</v>
      </c>
      <c r="I896" t="s">
        <v>20</v>
      </c>
      <c r="J896" t="s">
        <v>21</v>
      </c>
      <c r="K896">
        <v>0</v>
      </c>
      <c r="L896">
        <v>0.90099832830783799</v>
      </c>
    </row>
    <row r="897" spans="1:12">
      <c r="A897" t="str">
        <f t="shared" si="14"/>
        <v>S080000254</v>
      </c>
      <c r="B897">
        <v>4</v>
      </c>
      <c r="C897">
        <v>24</v>
      </c>
      <c r="D897">
        <v>21.092574248466502</v>
      </c>
      <c r="E897">
        <v>780</v>
      </c>
      <c r="F897">
        <v>1.13784120028615</v>
      </c>
      <c r="G897">
        <v>3.0769230769230802</v>
      </c>
      <c r="H897" t="s">
        <v>126</v>
      </c>
      <c r="I897" t="s">
        <v>22</v>
      </c>
      <c r="J897" t="s">
        <v>23</v>
      </c>
      <c r="K897">
        <v>0</v>
      </c>
      <c r="L897">
        <v>1.23245129966014</v>
      </c>
    </row>
    <row r="898" spans="1:12">
      <c r="A898" t="str">
        <f t="shared" si="14"/>
        <v>S080000264</v>
      </c>
      <c r="B898">
        <v>4</v>
      </c>
      <c r="C898">
        <v>26</v>
      </c>
      <c r="D898">
        <v>20.318168137139601</v>
      </c>
      <c r="E898">
        <v>900</v>
      </c>
      <c r="F898">
        <v>1.27964291980017</v>
      </c>
      <c r="G898">
        <v>2.8888888888888902</v>
      </c>
      <c r="H898" t="s">
        <v>126</v>
      </c>
      <c r="I898" t="s">
        <v>24</v>
      </c>
      <c r="J898" t="s">
        <v>25</v>
      </c>
      <c r="K898">
        <v>0</v>
      </c>
      <c r="L898">
        <v>1.02324738165569</v>
      </c>
    </row>
    <row r="899" spans="1:12">
      <c r="A899" t="str">
        <f t="shared" si="14"/>
        <v>S080000274</v>
      </c>
      <c r="B899">
        <v>4</v>
      </c>
      <c r="C899">
        <v>584</v>
      </c>
      <c r="D899">
        <v>575.40586815625397</v>
      </c>
      <c r="E899">
        <v>16554</v>
      </c>
      <c r="F899">
        <v>1.01493577371966</v>
      </c>
      <c r="G899">
        <v>3.5278482541983802</v>
      </c>
      <c r="H899" t="s">
        <v>126</v>
      </c>
      <c r="I899" t="s">
        <v>128</v>
      </c>
      <c r="J899" t="s">
        <v>27</v>
      </c>
      <c r="K899">
        <v>0</v>
      </c>
      <c r="L899">
        <v>0.94549533000505404</v>
      </c>
    </row>
    <row r="900" spans="1:12">
      <c r="A900" t="str">
        <f t="shared" si="14"/>
        <v>S080000284</v>
      </c>
      <c r="B900">
        <v>4</v>
      </c>
      <c r="C900">
        <v>42</v>
      </c>
      <c r="D900">
        <v>28.708624803185</v>
      </c>
      <c r="E900">
        <v>1085</v>
      </c>
      <c r="F900">
        <v>1.4629749870617399</v>
      </c>
      <c r="G900">
        <v>3.87096774193548</v>
      </c>
      <c r="H900" t="s">
        <v>126</v>
      </c>
      <c r="I900" t="s">
        <v>28</v>
      </c>
      <c r="J900" t="s">
        <v>29</v>
      </c>
      <c r="K900">
        <v>0</v>
      </c>
      <c r="L900">
        <v>1.2486115386023</v>
      </c>
    </row>
    <row r="901" spans="1:12">
      <c r="A901" t="str">
        <f t="shared" si="14"/>
        <v>S081000014</v>
      </c>
      <c r="B901">
        <v>4</v>
      </c>
      <c r="C901">
        <v>35</v>
      </c>
      <c r="D901">
        <v>33.3728243152622</v>
      </c>
      <c r="E901">
        <v>3163</v>
      </c>
      <c r="F901">
        <v>1.04875750608838</v>
      </c>
      <c r="G901">
        <v>1.10654441985457</v>
      </c>
      <c r="H901" t="s">
        <v>126</v>
      </c>
      <c r="I901" t="s">
        <v>30</v>
      </c>
      <c r="J901" t="s">
        <v>129</v>
      </c>
      <c r="K901">
        <v>0</v>
      </c>
      <c r="L901">
        <v>0.81484672133748104</v>
      </c>
    </row>
    <row r="902" spans="1:12">
      <c r="A902" t="str">
        <f t="shared" si="14"/>
        <v>S080000155</v>
      </c>
      <c r="B902">
        <v>5</v>
      </c>
      <c r="C902">
        <v>486</v>
      </c>
      <c r="D902">
        <v>520.50596011245102</v>
      </c>
      <c r="E902">
        <v>16746</v>
      </c>
      <c r="F902">
        <v>0.93370688761182197</v>
      </c>
      <c r="G902">
        <v>2.9021855965603698</v>
      </c>
      <c r="H902" t="s">
        <v>126</v>
      </c>
      <c r="I902" t="s">
        <v>2</v>
      </c>
      <c r="J902" t="s">
        <v>3</v>
      </c>
      <c r="K902">
        <v>0</v>
      </c>
      <c r="L902">
        <v>0.94031214446699096</v>
      </c>
    </row>
    <row r="903" spans="1:12">
      <c r="A903" t="str">
        <f t="shared" si="14"/>
        <v>S080000165</v>
      </c>
      <c r="B903">
        <v>5</v>
      </c>
      <c r="C903">
        <v>132</v>
      </c>
      <c r="D903">
        <v>147.81429161650399</v>
      </c>
      <c r="E903">
        <v>4541</v>
      </c>
      <c r="F903">
        <v>0.89301243172390299</v>
      </c>
      <c r="G903">
        <v>2.9068487117375001</v>
      </c>
      <c r="H903" t="s">
        <v>126</v>
      </c>
      <c r="I903" t="s">
        <v>4</v>
      </c>
      <c r="J903" t="s">
        <v>5</v>
      </c>
      <c r="K903">
        <v>0</v>
      </c>
      <c r="L903">
        <v>0.94071864101235603</v>
      </c>
    </row>
    <row r="904" spans="1:12">
      <c r="A904" t="str">
        <f t="shared" si="14"/>
        <v>S080000175</v>
      </c>
      <c r="B904">
        <v>5</v>
      </c>
      <c r="C904">
        <v>225</v>
      </c>
      <c r="D904">
        <v>214.27702526833201</v>
      </c>
      <c r="E904">
        <v>6564</v>
      </c>
      <c r="F904">
        <v>1.05004257791166</v>
      </c>
      <c r="G904">
        <v>3.4277879341864699</v>
      </c>
      <c r="H904" t="s">
        <v>126</v>
      </c>
      <c r="I904" t="s">
        <v>6</v>
      </c>
      <c r="J904" t="s">
        <v>7</v>
      </c>
      <c r="K904">
        <v>0</v>
      </c>
      <c r="L904">
        <v>1.08425325625257</v>
      </c>
    </row>
    <row r="905" spans="1:12">
      <c r="A905" t="str">
        <f t="shared" si="14"/>
        <v>S080000185</v>
      </c>
      <c r="B905">
        <v>5</v>
      </c>
      <c r="C905">
        <v>415</v>
      </c>
      <c r="D905">
        <v>386.58858055769502</v>
      </c>
      <c r="E905">
        <v>10113</v>
      </c>
      <c r="F905">
        <v>1.07349265051057</v>
      </c>
      <c r="G905">
        <v>4.1036289923860396</v>
      </c>
      <c r="H905" t="s">
        <v>126</v>
      </c>
      <c r="I905" t="s">
        <v>127</v>
      </c>
      <c r="J905" t="s">
        <v>9</v>
      </c>
      <c r="K905">
        <v>0</v>
      </c>
      <c r="L905">
        <v>0.96138947913866901</v>
      </c>
    </row>
    <row r="906" spans="1:12">
      <c r="A906" t="str">
        <f t="shared" si="14"/>
        <v>S080000195</v>
      </c>
      <c r="B906">
        <v>5</v>
      </c>
      <c r="C906">
        <v>320</v>
      </c>
      <c r="D906">
        <v>291.62655465193001</v>
      </c>
      <c r="E906">
        <v>8561</v>
      </c>
      <c r="F906">
        <v>1.0972937645611001</v>
      </c>
      <c r="G906">
        <v>3.7378810886578702</v>
      </c>
      <c r="H906" t="s">
        <v>126</v>
      </c>
      <c r="I906" t="s">
        <v>10</v>
      </c>
      <c r="J906" t="s">
        <v>11</v>
      </c>
      <c r="K906">
        <v>0</v>
      </c>
      <c r="L906">
        <v>1.07217697339998</v>
      </c>
    </row>
    <row r="907" spans="1:12">
      <c r="A907" t="str">
        <f t="shared" si="14"/>
        <v>S080000205</v>
      </c>
      <c r="B907">
        <v>5</v>
      </c>
      <c r="C907">
        <v>639</v>
      </c>
      <c r="D907">
        <v>661.88568919359602</v>
      </c>
      <c r="E907">
        <v>23550</v>
      </c>
      <c r="F907">
        <v>0.96542350202271499</v>
      </c>
      <c r="G907">
        <v>2.7133757961783398</v>
      </c>
      <c r="H907" t="s">
        <v>126</v>
      </c>
      <c r="I907" t="s">
        <v>12</v>
      </c>
      <c r="J907" t="s">
        <v>13</v>
      </c>
      <c r="K907">
        <v>0</v>
      </c>
      <c r="L907">
        <v>0.98998047285394597</v>
      </c>
    </row>
    <row r="908" spans="1:12">
      <c r="A908" t="str">
        <f t="shared" si="14"/>
        <v>S080000215</v>
      </c>
      <c r="B908">
        <v>5</v>
      </c>
      <c r="C908">
        <v>1646</v>
      </c>
      <c r="D908">
        <v>1650.6694035103501</v>
      </c>
      <c r="E908">
        <v>69664</v>
      </c>
      <c r="F908">
        <v>0.99717120611769905</v>
      </c>
      <c r="G908">
        <v>2.3627698667891601</v>
      </c>
      <c r="H908" t="s">
        <v>126</v>
      </c>
      <c r="I908" t="s">
        <v>14</v>
      </c>
      <c r="J908" t="s">
        <v>15</v>
      </c>
      <c r="K908">
        <v>0</v>
      </c>
      <c r="L908">
        <v>0.978103023440416</v>
      </c>
    </row>
    <row r="909" spans="1:12">
      <c r="A909" t="str">
        <f t="shared" si="14"/>
        <v>S080000225</v>
      </c>
      <c r="B909">
        <v>5</v>
      </c>
      <c r="C909">
        <v>292</v>
      </c>
      <c r="D909">
        <v>332.65264338078299</v>
      </c>
      <c r="E909">
        <v>10863</v>
      </c>
      <c r="F909">
        <v>0.87779251363336097</v>
      </c>
      <c r="G909">
        <v>2.6880235662340102</v>
      </c>
      <c r="H909" t="s">
        <v>126</v>
      </c>
      <c r="I909" t="s">
        <v>16</v>
      </c>
      <c r="J909" t="s">
        <v>17</v>
      </c>
      <c r="K909">
        <v>0</v>
      </c>
      <c r="L909">
        <v>0.96316143687486999</v>
      </c>
    </row>
    <row r="910" spans="1:12">
      <c r="A910" t="str">
        <f t="shared" si="14"/>
        <v>S080000235</v>
      </c>
      <c r="B910">
        <v>5</v>
      </c>
      <c r="C910">
        <v>708</v>
      </c>
      <c r="D910">
        <v>709.21658067642898</v>
      </c>
      <c r="E910">
        <v>25524</v>
      </c>
      <c r="F910">
        <v>0.99828461331901097</v>
      </c>
      <c r="G910">
        <v>2.7738598965679402</v>
      </c>
      <c r="H910" t="s">
        <v>126</v>
      </c>
      <c r="I910" t="s">
        <v>18</v>
      </c>
      <c r="J910" t="s">
        <v>19</v>
      </c>
      <c r="K910">
        <v>0</v>
      </c>
      <c r="L910">
        <v>1.00607068015676</v>
      </c>
    </row>
    <row r="911" spans="1:12">
      <c r="A911" t="str">
        <f t="shared" si="14"/>
        <v>S080000245</v>
      </c>
      <c r="B911">
        <v>5</v>
      </c>
      <c r="C911">
        <v>903</v>
      </c>
      <c r="D911">
        <v>994.37818209250202</v>
      </c>
      <c r="E911">
        <v>31610</v>
      </c>
      <c r="F911">
        <v>0.90810520208698498</v>
      </c>
      <c r="G911">
        <v>2.8566909205947502</v>
      </c>
      <c r="H911" t="s">
        <v>126</v>
      </c>
      <c r="I911" t="s">
        <v>20</v>
      </c>
      <c r="J911" t="s">
        <v>21</v>
      </c>
      <c r="K911">
        <v>0</v>
      </c>
      <c r="L911">
        <v>0.90099832830783799</v>
      </c>
    </row>
    <row r="912" spans="1:12">
      <c r="A912" t="str">
        <f t="shared" si="14"/>
        <v>S080000255</v>
      </c>
      <c r="B912">
        <v>5</v>
      </c>
      <c r="C912">
        <v>23</v>
      </c>
      <c r="D912">
        <v>15.8975432439484</v>
      </c>
      <c r="E912">
        <v>775</v>
      </c>
      <c r="F912">
        <v>1.4467644243556399</v>
      </c>
      <c r="G912">
        <v>2.9677419354838701</v>
      </c>
      <c r="H912" t="s">
        <v>126</v>
      </c>
      <c r="I912" t="s">
        <v>22</v>
      </c>
      <c r="J912" t="s">
        <v>23</v>
      </c>
      <c r="K912">
        <v>0</v>
      </c>
      <c r="L912">
        <v>1.23245129966014</v>
      </c>
    </row>
    <row r="913" spans="1:12">
      <c r="A913" t="str">
        <f t="shared" si="14"/>
        <v>S080000265</v>
      </c>
      <c r="B913">
        <v>5</v>
      </c>
      <c r="C913">
        <v>23</v>
      </c>
      <c r="D913">
        <v>24.486423026647699</v>
      </c>
      <c r="E913">
        <v>942</v>
      </c>
      <c r="F913">
        <v>0.93929603253892802</v>
      </c>
      <c r="G913">
        <v>2.4416135881104002</v>
      </c>
      <c r="H913" t="s">
        <v>126</v>
      </c>
      <c r="I913" t="s">
        <v>24</v>
      </c>
      <c r="J913" t="s">
        <v>25</v>
      </c>
      <c r="K913">
        <v>0</v>
      </c>
      <c r="L913">
        <v>1.02324738165569</v>
      </c>
    </row>
    <row r="914" spans="1:12">
      <c r="A914" t="str">
        <f t="shared" si="14"/>
        <v>S080000275</v>
      </c>
      <c r="B914">
        <v>5</v>
      </c>
      <c r="C914">
        <v>616</v>
      </c>
      <c r="D914">
        <v>614.09245495919401</v>
      </c>
      <c r="E914">
        <v>17059</v>
      </c>
      <c r="F914">
        <v>1.0031062831425499</v>
      </c>
      <c r="G914">
        <v>3.6109971276159198</v>
      </c>
      <c r="H914" t="s">
        <v>126</v>
      </c>
      <c r="I914" t="s">
        <v>128</v>
      </c>
      <c r="J914" t="s">
        <v>27</v>
      </c>
      <c r="K914">
        <v>0</v>
      </c>
      <c r="L914">
        <v>0.94549533000505404</v>
      </c>
    </row>
    <row r="915" spans="1:12">
      <c r="A915" t="str">
        <f t="shared" si="14"/>
        <v>S080000285</v>
      </c>
      <c r="B915">
        <v>5</v>
      </c>
      <c r="C915">
        <v>44</v>
      </c>
      <c r="D915">
        <v>30.795200289746401</v>
      </c>
      <c r="E915">
        <v>1129</v>
      </c>
      <c r="F915">
        <v>1.4287940843382101</v>
      </c>
      <c r="G915">
        <v>3.8972542072630598</v>
      </c>
      <c r="H915" t="s">
        <v>126</v>
      </c>
      <c r="I915" t="s">
        <v>28</v>
      </c>
      <c r="J915" t="s">
        <v>29</v>
      </c>
      <c r="K915">
        <v>0</v>
      </c>
      <c r="L915">
        <v>1.2486115386023</v>
      </c>
    </row>
    <row r="916" spans="1:12">
      <c r="A916" t="str">
        <f t="shared" si="14"/>
        <v>S081000015</v>
      </c>
      <c r="B916">
        <v>5</v>
      </c>
      <c r="C916">
        <v>28</v>
      </c>
      <c r="D916">
        <v>32.987907795267603</v>
      </c>
      <c r="E916">
        <v>3338</v>
      </c>
      <c r="F916">
        <v>0.84879587313557603</v>
      </c>
      <c r="G916">
        <v>0.83882564409826199</v>
      </c>
      <c r="H916" t="s">
        <v>126</v>
      </c>
      <c r="I916" t="s">
        <v>30</v>
      </c>
      <c r="J916" t="s">
        <v>129</v>
      </c>
      <c r="K916">
        <v>0</v>
      </c>
      <c r="L916">
        <v>0.81484672133748104</v>
      </c>
    </row>
    <row r="917" spans="1:12">
      <c r="A917" t="str">
        <f t="shared" si="14"/>
        <v>S080000156</v>
      </c>
      <c r="B917">
        <v>6</v>
      </c>
      <c r="C917">
        <v>474</v>
      </c>
      <c r="D917">
        <v>526.11213112225505</v>
      </c>
      <c r="E917">
        <v>16496</v>
      </c>
      <c r="F917">
        <v>0.900948622851379</v>
      </c>
      <c r="G917">
        <v>2.8734238603297801</v>
      </c>
      <c r="H917" t="s">
        <v>126</v>
      </c>
      <c r="I917" t="s">
        <v>2</v>
      </c>
      <c r="J917" t="s">
        <v>3</v>
      </c>
      <c r="K917">
        <v>0</v>
      </c>
      <c r="L917">
        <v>0.94031214446699096</v>
      </c>
    </row>
    <row r="918" spans="1:12">
      <c r="A918" t="str">
        <f t="shared" si="14"/>
        <v>S080000166</v>
      </c>
      <c r="B918">
        <v>6</v>
      </c>
      <c r="C918">
        <v>147</v>
      </c>
      <c r="D918">
        <v>138.944761457287</v>
      </c>
      <c r="E918">
        <v>4279</v>
      </c>
      <c r="F918">
        <v>1.0579743954232499</v>
      </c>
      <c r="G918">
        <v>3.4353820986211701</v>
      </c>
      <c r="H918" t="s">
        <v>126</v>
      </c>
      <c r="I918" t="s">
        <v>4</v>
      </c>
      <c r="J918" t="s">
        <v>5</v>
      </c>
      <c r="K918">
        <v>0</v>
      </c>
      <c r="L918">
        <v>0.94071864101235603</v>
      </c>
    </row>
    <row r="919" spans="1:12">
      <c r="A919" t="str">
        <f t="shared" si="14"/>
        <v>S080000176</v>
      </c>
      <c r="B919">
        <v>6</v>
      </c>
      <c r="C919">
        <v>238</v>
      </c>
      <c r="D919">
        <v>207.93968221032799</v>
      </c>
      <c r="E919">
        <v>6370</v>
      </c>
      <c r="F919">
        <v>1.14456268024526</v>
      </c>
      <c r="G919">
        <v>3.7362637362637399</v>
      </c>
      <c r="H919" t="s">
        <v>126</v>
      </c>
      <c r="I919" t="s">
        <v>6</v>
      </c>
      <c r="J919" t="s">
        <v>7</v>
      </c>
      <c r="K919">
        <v>0</v>
      </c>
      <c r="L919">
        <v>1.08425325625257</v>
      </c>
    </row>
    <row r="920" spans="1:12">
      <c r="A920" t="str">
        <f t="shared" si="14"/>
        <v>S080000186</v>
      </c>
      <c r="B920">
        <v>6</v>
      </c>
      <c r="C920">
        <v>370</v>
      </c>
      <c r="D920">
        <v>390.846390586675</v>
      </c>
      <c r="E920">
        <v>10491</v>
      </c>
      <c r="F920">
        <v>0.946663469105129</v>
      </c>
      <c r="G920">
        <v>3.5268325231150501</v>
      </c>
      <c r="H920" t="s">
        <v>126</v>
      </c>
      <c r="I920" t="s">
        <v>127</v>
      </c>
      <c r="J920" t="s">
        <v>9</v>
      </c>
      <c r="K920">
        <v>0</v>
      </c>
      <c r="L920">
        <v>0.96138947913866901</v>
      </c>
    </row>
    <row r="921" spans="1:12">
      <c r="A921" t="str">
        <f t="shared" si="14"/>
        <v>S080000196</v>
      </c>
      <c r="B921">
        <v>6</v>
      </c>
      <c r="C921">
        <v>292</v>
      </c>
      <c r="D921">
        <v>285.45482579685199</v>
      </c>
      <c r="E921">
        <v>8631</v>
      </c>
      <c r="F921">
        <v>1.02292893169655</v>
      </c>
      <c r="G921">
        <v>3.38315374811725</v>
      </c>
      <c r="H921" t="s">
        <v>126</v>
      </c>
      <c r="I921" t="s">
        <v>10</v>
      </c>
      <c r="J921" t="s">
        <v>11</v>
      </c>
      <c r="K921">
        <v>0</v>
      </c>
      <c r="L921">
        <v>1.07217697339998</v>
      </c>
    </row>
    <row r="922" spans="1:12">
      <c r="A922" t="str">
        <f t="shared" si="14"/>
        <v>S080000206</v>
      </c>
      <c r="B922">
        <v>6</v>
      </c>
      <c r="C922">
        <v>592</v>
      </c>
      <c r="D922">
        <v>633.42713380034695</v>
      </c>
      <c r="E922">
        <v>22977</v>
      </c>
      <c r="F922">
        <v>0.93459842247079195</v>
      </c>
      <c r="G922">
        <v>2.5764895330112698</v>
      </c>
      <c r="H922" t="s">
        <v>126</v>
      </c>
      <c r="I922" t="s">
        <v>12</v>
      </c>
      <c r="J922" t="s">
        <v>13</v>
      </c>
      <c r="K922">
        <v>0</v>
      </c>
      <c r="L922">
        <v>0.98998047285394597</v>
      </c>
    </row>
    <row r="923" spans="1:12">
      <c r="A923" t="str">
        <f t="shared" si="14"/>
        <v>S080000216</v>
      </c>
      <c r="B923">
        <v>6</v>
      </c>
      <c r="C923">
        <v>1541</v>
      </c>
      <c r="D923">
        <v>1605.5912764904899</v>
      </c>
      <c r="E923">
        <v>67319</v>
      </c>
      <c r="F923">
        <v>0.95977103423750798</v>
      </c>
      <c r="G923">
        <v>2.2891011452933001</v>
      </c>
      <c r="H923" t="s">
        <v>126</v>
      </c>
      <c r="I923" t="s">
        <v>14</v>
      </c>
      <c r="J923" t="s">
        <v>15</v>
      </c>
      <c r="K923">
        <v>0</v>
      </c>
      <c r="L923">
        <v>0.978103023440416</v>
      </c>
    </row>
    <row r="924" spans="1:12">
      <c r="A924" t="str">
        <f t="shared" si="14"/>
        <v>S080000226</v>
      </c>
      <c r="B924">
        <v>6</v>
      </c>
      <c r="C924">
        <v>278</v>
      </c>
      <c r="D924">
        <v>317.464552061821</v>
      </c>
      <c r="E924">
        <v>10687</v>
      </c>
      <c r="F924">
        <v>0.87568831919811896</v>
      </c>
      <c r="G924">
        <v>2.6012912884813302</v>
      </c>
      <c r="H924" t="s">
        <v>126</v>
      </c>
      <c r="I924" t="s">
        <v>16</v>
      </c>
      <c r="J924" t="s">
        <v>17</v>
      </c>
      <c r="K924">
        <v>0</v>
      </c>
      <c r="L924">
        <v>0.96316143687486999</v>
      </c>
    </row>
    <row r="925" spans="1:12">
      <c r="A925" t="str">
        <f t="shared" si="14"/>
        <v>S080000236</v>
      </c>
      <c r="B925">
        <v>6</v>
      </c>
      <c r="C925">
        <v>744</v>
      </c>
      <c r="D925">
        <v>696.55466498327803</v>
      </c>
      <c r="E925">
        <v>24470</v>
      </c>
      <c r="F925">
        <v>1.06811430229652</v>
      </c>
      <c r="G925">
        <v>3.0404577033101798</v>
      </c>
      <c r="H925" t="s">
        <v>126</v>
      </c>
      <c r="I925" t="s">
        <v>18</v>
      </c>
      <c r="J925" t="s">
        <v>19</v>
      </c>
      <c r="K925">
        <v>0</v>
      </c>
      <c r="L925">
        <v>1.00607068015676</v>
      </c>
    </row>
    <row r="926" spans="1:12">
      <c r="A926" t="str">
        <f t="shared" si="14"/>
        <v>S080000246</v>
      </c>
      <c r="B926">
        <v>6</v>
      </c>
      <c r="C926">
        <v>890</v>
      </c>
      <c r="D926">
        <v>1008.10742018702</v>
      </c>
      <c r="E926">
        <v>30422</v>
      </c>
      <c r="F926">
        <v>0.88284242549756498</v>
      </c>
      <c r="G926">
        <v>2.92551443034646</v>
      </c>
      <c r="H926" t="s">
        <v>126</v>
      </c>
      <c r="I926" t="s">
        <v>20</v>
      </c>
      <c r="J926" t="s">
        <v>21</v>
      </c>
      <c r="K926">
        <v>0</v>
      </c>
      <c r="L926">
        <v>0.90099832830783799</v>
      </c>
    </row>
    <row r="927" spans="1:12">
      <c r="A927" t="str">
        <f t="shared" si="14"/>
        <v>S080000256</v>
      </c>
      <c r="B927">
        <v>6</v>
      </c>
      <c r="C927">
        <v>25</v>
      </c>
      <c r="D927">
        <v>21.536608789705301</v>
      </c>
      <c r="E927">
        <v>756</v>
      </c>
      <c r="F927">
        <v>1.1608141395014</v>
      </c>
      <c r="G927">
        <v>3.3068783068783101</v>
      </c>
      <c r="H927" t="s">
        <v>126</v>
      </c>
      <c r="I927" t="s">
        <v>22</v>
      </c>
      <c r="J927" t="s">
        <v>23</v>
      </c>
      <c r="K927">
        <v>0</v>
      </c>
      <c r="L927">
        <v>1.23245129966014</v>
      </c>
    </row>
    <row r="928" spans="1:12">
      <c r="A928" t="str">
        <f t="shared" si="14"/>
        <v>S080000266</v>
      </c>
      <c r="B928">
        <v>6</v>
      </c>
      <c r="C928">
        <v>18</v>
      </c>
      <c r="D928">
        <v>20.3746622574374</v>
      </c>
      <c r="E928">
        <v>881</v>
      </c>
      <c r="F928">
        <v>0.88345022717760302</v>
      </c>
      <c r="G928">
        <v>2.0431328036322398</v>
      </c>
      <c r="H928" t="s">
        <v>126</v>
      </c>
      <c r="I928" t="s">
        <v>24</v>
      </c>
      <c r="J928" t="s">
        <v>25</v>
      </c>
      <c r="K928">
        <v>0</v>
      </c>
      <c r="L928">
        <v>1.02324738165569</v>
      </c>
    </row>
    <row r="929" spans="1:12">
      <c r="A929" t="str">
        <f t="shared" si="14"/>
        <v>S080000276</v>
      </c>
      <c r="B929">
        <v>6</v>
      </c>
      <c r="C929">
        <v>581</v>
      </c>
      <c r="D929">
        <v>585.67023273863697</v>
      </c>
      <c r="E929">
        <v>16629</v>
      </c>
      <c r="F929">
        <v>0.99202583215336304</v>
      </c>
      <c r="G929">
        <v>3.4938962054242602</v>
      </c>
      <c r="H929" t="s">
        <v>126</v>
      </c>
      <c r="I929" t="s">
        <v>128</v>
      </c>
      <c r="J929" t="s">
        <v>27</v>
      </c>
      <c r="K929">
        <v>0</v>
      </c>
      <c r="L929">
        <v>0.94549533000505404</v>
      </c>
    </row>
    <row r="930" spans="1:12">
      <c r="A930" t="str">
        <f t="shared" si="14"/>
        <v>S080000286</v>
      </c>
      <c r="B930">
        <v>6</v>
      </c>
      <c r="C930">
        <v>30</v>
      </c>
      <c r="D930">
        <v>21.294691021553401</v>
      </c>
      <c r="E930">
        <v>1074</v>
      </c>
      <c r="F930">
        <v>1.4088018450061299</v>
      </c>
      <c r="G930">
        <v>2.7932960893854699</v>
      </c>
      <c r="H930" t="s">
        <v>126</v>
      </c>
      <c r="I930" t="s">
        <v>28</v>
      </c>
      <c r="J930" t="s">
        <v>29</v>
      </c>
      <c r="K930">
        <v>0</v>
      </c>
      <c r="L930">
        <v>1.2486115386023</v>
      </c>
    </row>
    <row r="931" spans="1:12">
      <c r="A931" t="str">
        <f t="shared" si="14"/>
        <v>S081000016</v>
      </c>
      <c r="B931">
        <v>6</v>
      </c>
      <c r="C931">
        <v>32</v>
      </c>
      <c r="D931">
        <v>34.095839642063197</v>
      </c>
      <c r="E931">
        <v>3222</v>
      </c>
      <c r="F931">
        <v>0.93853092740741295</v>
      </c>
      <c r="G931">
        <v>0.99317194289261301</v>
      </c>
      <c r="H931" t="s">
        <v>126</v>
      </c>
      <c r="I931" t="s">
        <v>30</v>
      </c>
      <c r="J931" t="s">
        <v>129</v>
      </c>
      <c r="K931">
        <v>0</v>
      </c>
      <c r="L931">
        <v>0.81484672133748104</v>
      </c>
    </row>
    <row r="932" spans="1:12">
      <c r="A932" t="str">
        <f t="shared" si="14"/>
        <v>S080000157</v>
      </c>
      <c r="B932">
        <v>7</v>
      </c>
      <c r="C932">
        <v>420</v>
      </c>
      <c r="D932">
        <v>477.39701737939401</v>
      </c>
      <c r="E932">
        <v>15916</v>
      </c>
      <c r="F932">
        <v>0.87977089238121498</v>
      </c>
      <c r="G932">
        <v>2.6388539834129201</v>
      </c>
      <c r="H932" t="s">
        <v>126</v>
      </c>
      <c r="I932" t="s">
        <v>2</v>
      </c>
      <c r="J932" t="s">
        <v>3</v>
      </c>
      <c r="K932">
        <v>0</v>
      </c>
      <c r="L932">
        <v>0.94031214446699096</v>
      </c>
    </row>
    <row r="933" spans="1:12">
      <c r="A933" t="str">
        <f t="shared" si="14"/>
        <v>S080000167</v>
      </c>
      <c r="B933">
        <v>7</v>
      </c>
      <c r="C933">
        <v>122</v>
      </c>
      <c r="D933">
        <v>135.542254453813</v>
      </c>
      <c r="E933">
        <v>4069</v>
      </c>
      <c r="F933">
        <v>0.90008831925967603</v>
      </c>
      <c r="G933">
        <v>2.99827967559597</v>
      </c>
      <c r="H933" t="s">
        <v>126</v>
      </c>
      <c r="I933" t="s">
        <v>4</v>
      </c>
      <c r="J933" t="s">
        <v>5</v>
      </c>
      <c r="K933">
        <v>0</v>
      </c>
      <c r="L933">
        <v>0.94071864101235603</v>
      </c>
    </row>
    <row r="934" spans="1:12">
      <c r="A934" t="str">
        <f t="shared" si="14"/>
        <v>S080000177</v>
      </c>
      <c r="B934">
        <v>7</v>
      </c>
      <c r="C934">
        <v>218</v>
      </c>
      <c r="D934">
        <v>205.768074960619</v>
      </c>
      <c r="E934">
        <v>6495</v>
      </c>
      <c r="F934">
        <v>1.0594452032547901</v>
      </c>
      <c r="G934">
        <v>3.3564280215550402</v>
      </c>
      <c r="H934" t="s">
        <v>126</v>
      </c>
      <c r="I934" t="s">
        <v>6</v>
      </c>
      <c r="J934" t="s">
        <v>7</v>
      </c>
      <c r="K934">
        <v>0</v>
      </c>
      <c r="L934">
        <v>1.08425325625257</v>
      </c>
    </row>
    <row r="935" spans="1:12">
      <c r="A935" t="str">
        <f t="shared" si="14"/>
        <v>S080000187</v>
      </c>
      <c r="B935">
        <v>7</v>
      </c>
      <c r="C935">
        <v>373</v>
      </c>
      <c r="D935">
        <v>405.19780868066402</v>
      </c>
      <c r="E935">
        <v>10962</v>
      </c>
      <c r="F935">
        <v>0.92053804835346698</v>
      </c>
      <c r="G935">
        <v>3.4026637474913302</v>
      </c>
      <c r="H935" t="s">
        <v>126</v>
      </c>
      <c r="I935" t="s">
        <v>127</v>
      </c>
      <c r="J935" t="s">
        <v>9</v>
      </c>
      <c r="K935">
        <v>0</v>
      </c>
      <c r="L935">
        <v>0.96138947913866901</v>
      </c>
    </row>
    <row r="936" spans="1:12">
      <c r="A936" t="str">
        <f t="shared" si="14"/>
        <v>S080000197</v>
      </c>
      <c r="B936">
        <v>7</v>
      </c>
      <c r="C936">
        <v>265</v>
      </c>
      <c r="D936">
        <v>265.53081015230703</v>
      </c>
      <c r="E936">
        <v>8631</v>
      </c>
      <c r="F936">
        <v>0.99800094703886699</v>
      </c>
      <c r="G936">
        <v>3.07032788784614</v>
      </c>
      <c r="H936" t="s">
        <v>126</v>
      </c>
      <c r="I936" t="s">
        <v>10</v>
      </c>
      <c r="J936" t="s">
        <v>11</v>
      </c>
      <c r="K936">
        <v>0</v>
      </c>
      <c r="L936">
        <v>1.07217697339998</v>
      </c>
    </row>
    <row r="937" spans="1:12">
      <c r="A937" t="str">
        <f t="shared" si="14"/>
        <v>S080000207</v>
      </c>
      <c r="B937">
        <v>7</v>
      </c>
      <c r="C937">
        <v>474</v>
      </c>
      <c r="D937">
        <v>579.11364719881999</v>
      </c>
      <c r="E937">
        <v>22442</v>
      </c>
      <c r="F937">
        <v>0.81849219456792899</v>
      </c>
      <c r="G937">
        <v>2.1121112200338601</v>
      </c>
      <c r="H937" t="s">
        <v>126</v>
      </c>
      <c r="I937" t="s">
        <v>12</v>
      </c>
      <c r="J937" t="s">
        <v>13</v>
      </c>
      <c r="K937">
        <v>0</v>
      </c>
      <c r="L937">
        <v>0.98998047285394597</v>
      </c>
    </row>
    <row r="938" spans="1:12">
      <c r="A938" t="str">
        <f t="shared" si="14"/>
        <v>S080000217</v>
      </c>
      <c r="B938">
        <v>7</v>
      </c>
      <c r="C938">
        <v>1523</v>
      </c>
      <c r="D938">
        <v>1545.5853838297901</v>
      </c>
      <c r="E938">
        <v>66230</v>
      </c>
      <c r="F938">
        <v>0.98538716523455705</v>
      </c>
      <c r="G938">
        <v>2.29956213196437</v>
      </c>
      <c r="H938" t="s">
        <v>126</v>
      </c>
      <c r="I938" t="s">
        <v>14</v>
      </c>
      <c r="J938" t="s">
        <v>15</v>
      </c>
      <c r="K938">
        <v>0</v>
      </c>
      <c r="L938">
        <v>0.978103023440416</v>
      </c>
    </row>
    <row r="939" spans="1:12">
      <c r="A939" t="str">
        <f t="shared" si="14"/>
        <v>S080000227</v>
      </c>
      <c r="B939">
        <v>7</v>
      </c>
      <c r="C939">
        <v>284</v>
      </c>
      <c r="D939">
        <v>305.988975872021</v>
      </c>
      <c r="E939">
        <v>10639</v>
      </c>
      <c r="F939">
        <v>0.92813801278508101</v>
      </c>
      <c r="G939">
        <v>2.6694238180280099</v>
      </c>
      <c r="H939" t="s">
        <v>126</v>
      </c>
      <c r="I939" t="s">
        <v>16</v>
      </c>
      <c r="J939" t="s">
        <v>17</v>
      </c>
      <c r="K939">
        <v>0</v>
      </c>
      <c r="L939">
        <v>0.96316143687486999</v>
      </c>
    </row>
    <row r="940" spans="1:12">
      <c r="A940" t="str">
        <f t="shared" si="14"/>
        <v>S080000237</v>
      </c>
      <c r="B940">
        <v>7</v>
      </c>
      <c r="C940">
        <v>655</v>
      </c>
      <c r="D940">
        <v>682.84984179906496</v>
      </c>
      <c r="E940">
        <v>24127</v>
      </c>
      <c r="F940">
        <v>0.95921527677931295</v>
      </c>
      <c r="G940">
        <v>2.71480084552576</v>
      </c>
      <c r="H940" t="s">
        <v>126</v>
      </c>
      <c r="I940" t="s">
        <v>18</v>
      </c>
      <c r="J940" t="s">
        <v>19</v>
      </c>
      <c r="K940">
        <v>0</v>
      </c>
      <c r="L940">
        <v>1.00607068015676</v>
      </c>
    </row>
    <row r="941" spans="1:12">
      <c r="A941" t="str">
        <f t="shared" si="14"/>
        <v>S080000247</v>
      </c>
      <c r="B941">
        <v>7</v>
      </c>
      <c r="C941">
        <v>805</v>
      </c>
      <c r="D941">
        <v>941.00962283458398</v>
      </c>
      <c r="E941">
        <v>30799</v>
      </c>
      <c r="F941">
        <v>0.85546415303928003</v>
      </c>
      <c r="G941">
        <v>2.6137212247150901</v>
      </c>
      <c r="H941" t="s">
        <v>126</v>
      </c>
      <c r="I941" t="s">
        <v>20</v>
      </c>
      <c r="J941" t="s">
        <v>21</v>
      </c>
      <c r="K941">
        <v>0</v>
      </c>
      <c r="L941">
        <v>0.90099832830783799</v>
      </c>
    </row>
    <row r="942" spans="1:12">
      <c r="A942" t="str">
        <f t="shared" si="14"/>
        <v>S080000257</v>
      </c>
      <c r="B942">
        <v>7</v>
      </c>
      <c r="C942">
        <v>27</v>
      </c>
      <c r="D942">
        <v>23.1722358283827</v>
      </c>
      <c r="E942">
        <v>803</v>
      </c>
      <c r="F942">
        <v>1.1651875200980299</v>
      </c>
      <c r="G942">
        <v>3.36239103362391</v>
      </c>
      <c r="H942" t="s">
        <v>126</v>
      </c>
      <c r="I942" t="s">
        <v>22</v>
      </c>
      <c r="J942" t="s">
        <v>23</v>
      </c>
      <c r="K942">
        <v>0</v>
      </c>
      <c r="L942">
        <v>1.23245129966014</v>
      </c>
    </row>
    <row r="943" spans="1:12">
      <c r="A943" t="str">
        <f t="shared" si="14"/>
        <v>S080000267</v>
      </c>
      <c r="B943">
        <v>7</v>
      </c>
      <c r="C943">
        <v>25</v>
      </c>
      <c r="D943">
        <v>19.484115952023199</v>
      </c>
      <c r="E943">
        <v>868</v>
      </c>
      <c r="F943">
        <v>1.28309644951605</v>
      </c>
      <c r="G943">
        <v>2.88018433179723</v>
      </c>
      <c r="H943" t="s">
        <v>126</v>
      </c>
      <c r="I943" t="s">
        <v>24</v>
      </c>
      <c r="J943" t="s">
        <v>25</v>
      </c>
      <c r="K943">
        <v>0</v>
      </c>
      <c r="L943">
        <v>1.02324738165569</v>
      </c>
    </row>
    <row r="944" spans="1:12">
      <c r="A944" t="str">
        <f t="shared" si="14"/>
        <v>S080000277</v>
      </c>
      <c r="B944">
        <v>7</v>
      </c>
      <c r="C944">
        <v>582</v>
      </c>
      <c r="D944">
        <v>587.08131242677996</v>
      </c>
      <c r="E944">
        <v>16354</v>
      </c>
      <c r="F944">
        <v>0.99134478935162096</v>
      </c>
      <c r="G944">
        <v>3.55876238229179</v>
      </c>
      <c r="H944" t="s">
        <v>126</v>
      </c>
      <c r="I944" t="s">
        <v>128</v>
      </c>
      <c r="J944" t="s">
        <v>27</v>
      </c>
      <c r="K944">
        <v>0</v>
      </c>
      <c r="L944">
        <v>0.94549533000505404</v>
      </c>
    </row>
    <row r="945" spans="1:12">
      <c r="A945" t="str">
        <f t="shared" si="14"/>
        <v>S080000287</v>
      </c>
      <c r="B945">
        <v>7</v>
      </c>
      <c r="C945">
        <v>43</v>
      </c>
      <c r="D945">
        <v>27.954206293911898</v>
      </c>
      <c r="E945">
        <v>1011</v>
      </c>
      <c r="F945">
        <v>1.53823004480599</v>
      </c>
      <c r="G945">
        <v>4.2532146389713201</v>
      </c>
      <c r="H945" t="s">
        <v>126</v>
      </c>
      <c r="I945" t="s">
        <v>28</v>
      </c>
      <c r="J945" t="s">
        <v>29</v>
      </c>
      <c r="K945">
        <v>0</v>
      </c>
      <c r="L945">
        <v>1.2486115386023</v>
      </c>
    </row>
    <row r="946" spans="1:12">
      <c r="A946" t="str">
        <f t="shared" si="14"/>
        <v>S081000017</v>
      </c>
      <c r="B946">
        <v>7</v>
      </c>
      <c r="C946">
        <v>15</v>
      </c>
      <c r="D946">
        <v>32.151426725613703</v>
      </c>
      <c r="E946">
        <v>3194</v>
      </c>
      <c r="F946">
        <v>0.46654228218277199</v>
      </c>
      <c r="G946">
        <v>0.46963055729492797</v>
      </c>
      <c r="H946" t="s">
        <v>126</v>
      </c>
      <c r="I946" t="s">
        <v>30</v>
      </c>
      <c r="J946" t="s">
        <v>129</v>
      </c>
      <c r="K946">
        <v>0</v>
      </c>
      <c r="L946">
        <v>0.81484672133748104</v>
      </c>
    </row>
    <row r="947" spans="1:12">
      <c r="A947" t="str">
        <f t="shared" si="14"/>
        <v>S080000158</v>
      </c>
      <c r="B947">
        <v>8</v>
      </c>
      <c r="C947">
        <v>544</v>
      </c>
      <c r="D947">
        <v>542.33509971278204</v>
      </c>
      <c r="E947">
        <v>16853</v>
      </c>
      <c r="F947">
        <v>1.0030698737516699</v>
      </c>
      <c r="G947">
        <v>3.2279119444609301</v>
      </c>
      <c r="H947" t="s">
        <v>126</v>
      </c>
      <c r="I947" t="s">
        <v>2</v>
      </c>
      <c r="J947" t="s">
        <v>3</v>
      </c>
      <c r="K947">
        <v>0</v>
      </c>
      <c r="L947">
        <v>0.94031214446699096</v>
      </c>
    </row>
    <row r="948" spans="1:12">
      <c r="A948" t="str">
        <f t="shared" si="14"/>
        <v>S080000168</v>
      </c>
      <c r="B948">
        <v>8</v>
      </c>
      <c r="C948">
        <v>147</v>
      </c>
      <c r="D948">
        <v>152.421832567069</v>
      </c>
      <c r="E948">
        <v>4182</v>
      </c>
      <c r="F948">
        <v>0.96442876669467004</v>
      </c>
      <c r="G948">
        <v>3.5150645624103301</v>
      </c>
      <c r="H948" t="s">
        <v>126</v>
      </c>
      <c r="I948" t="s">
        <v>4</v>
      </c>
      <c r="J948" t="s">
        <v>5</v>
      </c>
      <c r="K948">
        <v>0</v>
      </c>
      <c r="L948">
        <v>0.94071864101235603</v>
      </c>
    </row>
    <row r="949" spans="1:12">
      <c r="A949" t="str">
        <f t="shared" si="14"/>
        <v>S080000178</v>
      </c>
      <c r="B949">
        <v>8</v>
      </c>
      <c r="C949">
        <v>231</v>
      </c>
      <c r="D949">
        <v>199.05406725724299</v>
      </c>
      <c r="E949">
        <v>6632</v>
      </c>
      <c r="F949">
        <v>1.1604887213958399</v>
      </c>
      <c r="G949">
        <v>3.4831121833534402</v>
      </c>
      <c r="H949" t="s">
        <v>126</v>
      </c>
      <c r="I949" t="s">
        <v>6</v>
      </c>
      <c r="J949" t="s">
        <v>7</v>
      </c>
      <c r="K949">
        <v>0</v>
      </c>
      <c r="L949">
        <v>1.08425325625257</v>
      </c>
    </row>
    <row r="950" spans="1:12">
      <c r="A950" t="str">
        <f t="shared" si="14"/>
        <v>S080000188</v>
      </c>
      <c r="B950">
        <v>8</v>
      </c>
      <c r="C950">
        <v>455</v>
      </c>
      <c r="D950">
        <v>442.30184725303599</v>
      </c>
      <c r="E950">
        <v>11176</v>
      </c>
      <c r="F950">
        <v>1.02870924647009</v>
      </c>
      <c r="G950">
        <v>4.0712240515390103</v>
      </c>
      <c r="H950" t="s">
        <v>126</v>
      </c>
      <c r="I950" t="s">
        <v>127</v>
      </c>
      <c r="J950" t="s">
        <v>9</v>
      </c>
      <c r="K950">
        <v>0</v>
      </c>
      <c r="L950">
        <v>0.96138947913866901</v>
      </c>
    </row>
    <row r="951" spans="1:12">
      <c r="A951" t="str">
        <f t="shared" si="14"/>
        <v>S080000198</v>
      </c>
      <c r="B951">
        <v>8</v>
      </c>
      <c r="C951">
        <v>343</v>
      </c>
      <c r="D951">
        <v>293.38167251857499</v>
      </c>
      <c r="E951">
        <v>9201</v>
      </c>
      <c r="F951">
        <v>1.1691255184942899</v>
      </c>
      <c r="G951">
        <v>3.7278556678621899</v>
      </c>
      <c r="H951" t="s">
        <v>126</v>
      </c>
      <c r="I951" t="s">
        <v>10</v>
      </c>
      <c r="J951" t="s">
        <v>11</v>
      </c>
      <c r="K951">
        <v>0</v>
      </c>
      <c r="L951">
        <v>1.07217697339998</v>
      </c>
    </row>
    <row r="952" spans="1:12">
      <c r="A952" t="str">
        <f t="shared" si="14"/>
        <v>S080000208</v>
      </c>
      <c r="B952">
        <v>8</v>
      </c>
      <c r="C952">
        <v>612</v>
      </c>
      <c r="D952">
        <v>620.47484402949897</v>
      </c>
      <c r="E952">
        <v>22951</v>
      </c>
      <c r="F952">
        <v>0.98634135757307795</v>
      </c>
      <c r="G952">
        <v>2.6665504771033901</v>
      </c>
      <c r="H952" t="s">
        <v>126</v>
      </c>
      <c r="I952" t="s">
        <v>12</v>
      </c>
      <c r="J952" t="s">
        <v>13</v>
      </c>
      <c r="K952">
        <v>0</v>
      </c>
      <c r="L952">
        <v>0.98998047285394597</v>
      </c>
    </row>
    <row r="953" spans="1:12">
      <c r="A953" t="str">
        <f t="shared" si="14"/>
        <v>S080000218</v>
      </c>
      <c r="B953">
        <v>8</v>
      </c>
      <c r="C953">
        <v>1722</v>
      </c>
      <c r="D953">
        <v>1628.7156738748699</v>
      </c>
      <c r="E953">
        <v>68193</v>
      </c>
      <c r="F953">
        <v>1.05727477645205</v>
      </c>
      <c r="G953">
        <v>2.5251858695173999</v>
      </c>
      <c r="H953" t="s">
        <v>126</v>
      </c>
      <c r="I953" t="s">
        <v>14</v>
      </c>
      <c r="J953" t="s">
        <v>15</v>
      </c>
      <c r="K953">
        <v>0</v>
      </c>
      <c r="L953">
        <v>0.978103023440416</v>
      </c>
    </row>
    <row r="954" spans="1:12">
      <c r="A954" t="str">
        <f t="shared" si="14"/>
        <v>S080000228</v>
      </c>
      <c r="B954">
        <v>8</v>
      </c>
      <c r="C954">
        <v>325</v>
      </c>
      <c r="D954">
        <v>340.02611668679702</v>
      </c>
      <c r="E954">
        <v>10572</v>
      </c>
      <c r="F954">
        <v>0.95580893363953601</v>
      </c>
      <c r="G954">
        <v>3.07415815361332</v>
      </c>
      <c r="H954" t="s">
        <v>126</v>
      </c>
      <c r="I954" t="s">
        <v>16</v>
      </c>
      <c r="J954" t="s">
        <v>17</v>
      </c>
      <c r="K954">
        <v>0</v>
      </c>
      <c r="L954">
        <v>0.96316143687486999</v>
      </c>
    </row>
    <row r="955" spans="1:12">
      <c r="A955" t="str">
        <f t="shared" si="14"/>
        <v>S080000238</v>
      </c>
      <c r="B955">
        <v>8</v>
      </c>
      <c r="C955">
        <v>832</v>
      </c>
      <c r="D955">
        <v>742.91413251034703</v>
      </c>
      <c r="E955">
        <v>25199</v>
      </c>
      <c r="F955">
        <v>1.1199140837294701</v>
      </c>
      <c r="G955">
        <v>3.3017183221556401</v>
      </c>
      <c r="H955" t="s">
        <v>126</v>
      </c>
      <c r="I955" t="s">
        <v>18</v>
      </c>
      <c r="J955" t="s">
        <v>19</v>
      </c>
      <c r="K955">
        <v>0</v>
      </c>
      <c r="L955">
        <v>1.00607068015676</v>
      </c>
    </row>
    <row r="956" spans="1:12">
      <c r="A956" t="str">
        <f t="shared" si="14"/>
        <v>S080000248</v>
      </c>
      <c r="B956">
        <v>8</v>
      </c>
      <c r="C956">
        <v>927</v>
      </c>
      <c r="D956">
        <v>996.53351563496301</v>
      </c>
      <c r="E956">
        <v>31497</v>
      </c>
      <c r="F956">
        <v>0.93022460906329096</v>
      </c>
      <c r="G956">
        <v>2.94313744166111</v>
      </c>
      <c r="H956" t="s">
        <v>126</v>
      </c>
      <c r="I956" t="s">
        <v>20</v>
      </c>
      <c r="J956" t="s">
        <v>21</v>
      </c>
      <c r="K956">
        <v>0</v>
      </c>
      <c r="L956">
        <v>0.90099832830783799</v>
      </c>
    </row>
    <row r="957" spans="1:12">
      <c r="A957" t="str">
        <f t="shared" si="14"/>
        <v>S080000258</v>
      </c>
      <c r="B957">
        <v>8</v>
      </c>
      <c r="C957">
        <v>34</v>
      </c>
      <c r="D957">
        <v>23.1998272184466</v>
      </c>
      <c r="E957">
        <v>763</v>
      </c>
      <c r="F957">
        <v>1.4655281558720401</v>
      </c>
      <c r="G957">
        <v>4.4560943643512498</v>
      </c>
      <c r="H957" t="s">
        <v>126</v>
      </c>
      <c r="I957" t="s">
        <v>22</v>
      </c>
      <c r="J957" t="s">
        <v>23</v>
      </c>
      <c r="K957">
        <v>0</v>
      </c>
      <c r="L957">
        <v>1.23245129966014</v>
      </c>
    </row>
    <row r="958" spans="1:12">
      <c r="A958" t="str">
        <f t="shared" si="14"/>
        <v>S080000268</v>
      </c>
      <c r="B958">
        <v>8</v>
      </c>
      <c r="C958">
        <v>20</v>
      </c>
      <c r="D958">
        <v>25.099439860349701</v>
      </c>
      <c r="E958">
        <v>1033</v>
      </c>
      <c r="F958">
        <v>0.79683053132968795</v>
      </c>
      <c r="G958">
        <v>1.93610842207164</v>
      </c>
      <c r="H958" t="s">
        <v>126</v>
      </c>
      <c r="I958" t="s">
        <v>24</v>
      </c>
      <c r="J958" t="s">
        <v>25</v>
      </c>
      <c r="K958">
        <v>0</v>
      </c>
      <c r="L958">
        <v>1.02324738165569</v>
      </c>
    </row>
    <row r="959" spans="1:12">
      <c r="A959" t="str">
        <f t="shared" si="14"/>
        <v>S080000278</v>
      </c>
      <c r="B959">
        <v>8</v>
      </c>
      <c r="C959">
        <v>615</v>
      </c>
      <c r="D959">
        <v>609.18343262253802</v>
      </c>
      <c r="E959">
        <v>16745</v>
      </c>
      <c r="F959">
        <v>1.0095481378284099</v>
      </c>
      <c r="G959">
        <v>3.67273813078531</v>
      </c>
      <c r="H959" t="s">
        <v>126</v>
      </c>
      <c r="I959" t="s">
        <v>128</v>
      </c>
      <c r="J959" t="s">
        <v>27</v>
      </c>
      <c r="K959">
        <v>0</v>
      </c>
      <c r="L959">
        <v>0.94549533000505404</v>
      </c>
    </row>
    <row r="960" spans="1:12">
      <c r="A960" t="str">
        <f t="shared" ref="A960:A1023" si="15">CONCATENATE(I960, B960)</f>
        <v>S080000288</v>
      </c>
      <c r="B960">
        <v>8</v>
      </c>
      <c r="C960">
        <v>37</v>
      </c>
      <c r="D960">
        <v>28.3710801857668</v>
      </c>
      <c r="E960">
        <v>997</v>
      </c>
      <c r="F960">
        <v>1.3041449165041701</v>
      </c>
      <c r="G960">
        <v>3.7111334002006</v>
      </c>
      <c r="H960" t="s">
        <v>126</v>
      </c>
      <c r="I960" t="s">
        <v>28</v>
      </c>
      <c r="J960" t="s">
        <v>29</v>
      </c>
      <c r="K960">
        <v>0</v>
      </c>
      <c r="L960">
        <v>1.2486115386023</v>
      </c>
    </row>
    <row r="961" spans="1:12">
      <c r="A961" t="str">
        <f t="shared" si="15"/>
        <v>S081000018</v>
      </c>
      <c r="B961">
        <v>8</v>
      </c>
      <c r="C961">
        <v>33</v>
      </c>
      <c r="D961">
        <v>34.844875507428902</v>
      </c>
      <c r="E961">
        <v>3398</v>
      </c>
      <c r="F961">
        <v>0.947054610453821</v>
      </c>
      <c r="G961">
        <v>0.97115950559152397</v>
      </c>
      <c r="H961" t="s">
        <v>126</v>
      </c>
      <c r="I961" t="s">
        <v>30</v>
      </c>
      <c r="J961" t="s">
        <v>129</v>
      </c>
      <c r="K961">
        <v>0</v>
      </c>
      <c r="L961">
        <v>0.81484672133748104</v>
      </c>
    </row>
    <row r="962" spans="1:12">
      <c r="A962" t="str">
        <f t="shared" si="15"/>
        <v>S080000159</v>
      </c>
      <c r="B962">
        <v>9</v>
      </c>
      <c r="C962">
        <v>552</v>
      </c>
      <c r="D962">
        <v>550.85618101855096</v>
      </c>
      <c r="E962">
        <v>16305</v>
      </c>
      <c r="F962">
        <v>1.0020764384985801</v>
      </c>
      <c r="G962">
        <v>3.3854645814167399</v>
      </c>
      <c r="H962" t="s">
        <v>126</v>
      </c>
      <c r="I962" t="s">
        <v>2</v>
      </c>
      <c r="J962" t="s">
        <v>3</v>
      </c>
      <c r="K962">
        <v>0</v>
      </c>
      <c r="L962">
        <v>0.94031214446699096</v>
      </c>
    </row>
    <row r="963" spans="1:12">
      <c r="A963" t="str">
        <f t="shared" si="15"/>
        <v>S080000169</v>
      </c>
      <c r="B963">
        <v>9</v>
      </c>
      <c r="C963">
        <v>155</v>
      </c>
      <c r="D963">
        <v>151.84711928218701</v>
      </c>
      <c r="E963">
        <v>4069</v>
      </c>
      <c r="F963">
        <v>1.02076352012944</v>
      </c>
      <c r="G963">
        <v>3.8092897517817601</v>
      </c>
      <c r="H963" t="s">
        <v>126</v>
      </c>
      <c r="I963" t="s">
        <v>4</v>
      </c>
      <c r="J963" t="s">
        <v>5</v>
      </c>
      <c r="K963">
        <v>0</v>
      </c>
      <c r="L963">
        <v>0.94071864101235603</v>
      </c>
    </row>
    <row r="964" spans="1:12">
      <c r="A964" t="str">
        <f t="shared" si="15"/>
        <v>S080000179</v>
      </c>
      <c r="B964">
        <v>9</v>
      </c>
      <c r="C964">
        <v>246</v>
      </c>
      <c r="D964">
        <v>218.138278180443</v>
      </c>
      <c r="E964">
        <v>6549</v>
      </c>
      <c r="F964">
        <v>1.1277250469379301</v>
      </c>
      <c r="G964">
        <v>3.7562986715529099</v>
      </c>
      <c r="H964" t="s">
        <v>126</v>
      </c>
      <c r="I964" t="s">
        <v>6</v>
      </c>
      <c r="J964" t="s">
        <v>7</v>
      </c>
      <c r="K964">
        <v>0</v>
      </c>
      <c r="L964">
        <v>1.08425325625257</v>
      </c>
    </row>
    <row r="965" spans="1:12">
      <c r="A965" t="str">
        <f t="shared" si="15"/>
        <v>S080000189</v>
      </c>
      <c r="B965">
        <v>9</v>
      </c>
      <c r="C965">
        <v>424</v>
      </c>
      <c r="D965">
        <v>423.24482448816502</v>
      </c>
      <c r="E965">
        <v>10872</v>
      </c>
      <c r="F965">
        <v>1.00178425220615</v>
      </c>
      <c r="G965">
        <v>3.8999264164827099</v>
      </c>
      <c r="H965" t="s">
        <v>126</v>
      </c>
      <c r="I965" t="s">
        <v>127</v>
      </c>
      <c r="J965" t="s">
        <v>9</v>
      </c>
      <c r="K965">
        <v>0</v>
      </c>
      <c r="L965">
        <v>0.96138947913866901</v>
      </c>
    </row>
    <row r="966" spans="1:12">
      <c r="A966" t="str">
        <f t="shared" si="15"/>
        <v>S080000199</v>
      </c>
      <c r="B966">
        <v>9</v>
      </c>
      <c r="C966">
        <v>313</v>
      </c>
      <c r="D966">
        <v>287.61732662764098</v>
      </c>
      <c r="E966">
        <v>8570</v>
      </c>
      <c r="F966">
        <v>1.0882515447521</v>
      </c>
      <c r="G966">
        <v>3.6522753792298701</v>
      </c>
      <c r="H966" t="s">
        <v>126</v>
      </c>
      <c r="I966" t="s">
        <v>10</v>
      </c>
      <c r="J966" t="s">
        <v>11</v>
      </c>
      <c r="K966">
        <v>0</v>
      </c>
      <c r="L966">
        <v>1.07217697339998</v>
      </c>
    </row>
    <row r="967" spans="1:12">
      <c r="A967" t="str">
        <f t="shared" si="15"/>
        <v>S080000209</v>
      </c>
      <c r="B967">
        <v>9</v>
      </c>
      <c r="C967">
        <v>626</v>
      </c>
      <c r="D967">
        <v>608.61904763147197</v>
      </c>
      <c r="E967">
        <v>22791</v>
      </c>
      <c r="F967">
        <v>1.02855801578371</v>
      </c>
      <c r="G967">
        <v>2.7466982580843302</v>
      </c>
      <c r="H967" t="s">
        <v>126</v>
      </c>
      <c r="I967" t="s">
        <v>12</v>
      </c>
      <c r="J967" t="s">
        <v>13</v>
      </c>
      <c r="K967">
        <v>0</v>
      </c>
      <c r="L967">
        <v>0.98998047285394597</v>
      </c>
    </row>
    <row r="968" spans="1:12">
      <c r="A968" t="str">
        <f t="shared" si="15"/>
        <v>S080000219</v>
      </c>
      <c r="B968">
        <v>9</v>
      </c>
      <c r="C968">
        <v>1686</v>
      </c>
      <c r="D968">
        <v>1614.82921142293</v>
      </c>
      <c r="E968">
        <v>66578</v>
      </c>
      <c r="F968">
        <v>1.04407326054893</v>
      </c>
      <c r="G968">
        <v>2.5323680495058398</v>
      </c>
      <c r="H968" t="s">
        <v>126</v>
      </c>
      <c r="I968" t="s">
        <v>14</v>
      </c>
      <c r="J968" t="s">
        <v>15</v>
      </c>
      <c r="K968">
        <v>0</v>
      </c>
      <c r="L968">
        <v>0.978103023440416</v>
      </c>
    </row>
    <row r="969" spans="1:12">
      <c r="A969" t="str">
        <f t="shared" si="15"/>
        <v>S080000229</v>
      </c>
      <c r="B969">
        <v>9</v>
      </c>
      <c r="C969">
        <v>332</v>
      </c>
      <c r="D969">
        <v>341.81969838720698</v>
      </c>
      <c r="E969">
        <v>10445</v>
      </c>
      <c r="F969">
        <v>0.97127228643188401</v>
      </c>
      <c r="G969">
        <v>3.1785543322163701</v>
      </c>
      <c r="H969" t="s">
        <v>126</v>
      </c>
      <c r="I969" t="s">
        <v>16</v>
      </c>
      <c r="J969" t="s">
        <v>17</v>
      </c>
      <c r="K969">
        <v>0</v>
      </c>
      <c r="L969">
        <v>0.96316143687486999</v>
      </c>
    </row>
    <row r="970" spans="1:12">
      <c r="A970" t="str">
        <f t="shared" si="15"/>
        <v>S080000239</v>
      </c>
      <c r="B970">
        <v>9</v>
      </c>
      <c r="C970">
        <v>807</v>
      </c>
      <c r="D970">
        <v>774.28243982908498</v>
      </c>
      <c r="E970">
        <v>24657</v>
      </c>
      <c r="F970">
        <v>1.04225533021017</v>
      </c>
      <c r="G970">
        <v>3.2729042462586699</v>
      </c>
      <c r="H970" t="s">
        <v>126</v>
      </c>
      <c r="I970" t="s">
        <v>18</v>
      </c>
      <c r="J970" t="s">
        <v>19</v>
      </c>
      <c r="K970">
        <v>0</v>
      </c>
      <c r="L970">
        <v>1.00607068015676</v>
      </c>
    </row>
    <row r="971" spans="1:12">
      <c r="A971" t="str">
        <f t="shared" si="15"/>
        <v>S080000249</v>
      </c>
      <c r="B971">
        <v>9</v>
      </c>
      <c r="C971">
        <v>927</v>
      </c>
      <c r="D971">
        <v>1018.05663012343</v>
      </c>
      <c r="E971">
        <v>30437</v>
      </c>
      <c r="F971">
        <v>0.91055838405335798</v>
      </c>
      <c r="G971">
        <v>3.0456352465748902</v>
      </c>
      <c r="H971" t="s">
        <v>126</v>
      </c>
      <c r="I971" t="s">
        <v>20</v>
      </c>
      <c r="J971" t="s">
        <v>21</v>
      </c>
      <c r="K971">
        <v>0</v>
      </c>
      <c r="L971">
        <v>0.90099832830783799</v>
      </c>
    </row>
    <row r="972" spans="1:12">
      <c r="A972" t="str">
        <f t="shared" si="15"/>
        <v>S080000259</v>
      </c>
      <c r="B972">
        <v>9</v>
      </c>
      <c r="C972">
        <v>33</v>
      </c>
      <c r="D972">
        <v>27.708714637735302</v>
      </c>
      <c r="E972">
        <v>764</v>
      </c>
      <c r="F972">
        <v>1.1909610543629801</v>
      </c>
      <c r="G972">
        <v>4.31937172774869</v>
      </c>
      <c r="H972" t="s">
        <v>126</v>
      </c>
      <c r="I972" t="s">
        <v>22</v>
      </c>
      <c r="J972" t="s">
        <v>23</v>
      </c>
      <c r="K972">
        <v>0</v>
      </c>
      <c r="L972">
        <v>1.23245129966014</v>
      </c>
    </row>
    <row r="973" spans="1:12">
      <c r="A973" t="str">
        <f t="shared" si="15"/>
        <v>S080000269</v>
      </c>
      <c r="B973">
        <v>9</v>
      </c>
      <c r="C973">
        <v>20</v>
      </c>
      <c r="D973">
        <v>28.973829783822499</v>
      </c>
      <c r="E973">
        <v>932</v>
      </c>
      <c r="F973">
        <v>0.69027809403253204</v>
      </c>
      <c r="G973">
        <v>2.1459227467811202</v>
      </c>
      <c r="H973" t="s">
        <v>126</v>
      </c>
      <c r="I973" t="s">
        <v>24</v>
      </c>
      <c r="J973" t="s">
        <v>25</v>
      </c>
      <c r="K973">
        <v>0</v>
      </c>
      <c r="L973">
        <v>1.02324738165569</v>
      </c>
    </row>
    <row r="974" spans="1:12">
      <c r="A974" t="str">
        <f t="shared" si="15"/>
        <v>S080000279</v>
      </c>
      <c r="B974">
        <v>9</v>
      </c>
      <c r="C974">
        <v>614</v>
      </c>
      <c r="D974">
        <v>622.14766599005395</v>
      </c>
      <c r="E974">
        <v>17126</v>
      </c>
      <c r="F974">
        <v>0.98690396760214805</v>
      </c>
      <c r="G974">
        <v>3.5851921055704801</v>
      </c>
      <c r="H974" t="s">
        <v>126</v>
      </c>
      <c r="I974" t="s">
        <v>128</v>
      </c>
      <c r="J974" t="s">
        <v>27</v>
      </c>
      <c r="K974">
        <v>0</v>
      </c>
      <c r="L974">
        <v>0.94549533000505404</v>
      </c>
    </row>
    <row r="975" spans="1:12">
      <c r="A975" t="str">
        <f t="shared" si="15"/>
        <v>S080000289</v>
      </c>
      <c r="B975">
        <v>9</v>
      </c>
      <c r="C975">
        <v>31</v>
      </c>
      <c r="D975">
        <v>28.7273776414034</v>
      </c>
      <c r="E975">
        <v>1140</v>
      </c>
      <c r="F975">
        <v>1.0791099830609401</v>
      </c>
      <c r="G975">
        <v>2.71929824561404</v>
      </c>
      <c r="H975" t="s">
        <v>126</v>
      </c>
      <c r="I975" t="s">
        <v>28</v>
      </c>
      <c r="J975" t="s">
        <v>29</v>
      </c>
      <c r="K975">
        <v>0</v>
      </c>
      <c r="L975">
        <v>1.2486115386023</v>
      </c>
    </row>
    <row r="976" spans="1:12">
      <c r="A976" t="str">
        <f t="shared" si="15"/>
        <v>S081000019</v>
      </c>
      <c r="B976">
        <v>9</v>
      </c>
      <c r="C976">
        <v>23</v>
      </c>
      <c r="D976">
        <v>35.303766686690302</v>
      </c>
      <c r="E976">
        <v>3368</v>
      </c>
      <c r="F976">
        <v>0.65148855656445104</v>
      </c>
      <c r="G976">
        <v>0.68289786223277904</v>
      </c>
      <c r="H976" t="s">
        <v>126</v>
      </c>
      <c r="I976" t="s">
        <v>30</v>
      </c>
      <c r="J976" t="s">
        <v>129</v>
      </c>
      <c r="K976">
        <v>0</v>
      </c>
      <c r="L976">
        <v>0.81484672133748104</v>
      </c>
    </row>
    <row r="977" spans="1:12">
      <c r="A977" t="str">
        <f t="shared" si="15"/>
        <v>S0800001510</v>
      </c>
      <c r="B977">
        <v>10</v>
      </c>
      <c r="C977">
        <v>486</v>
      </c>
      <c r="D977">
        <v>555.13687050042404</v>
      </c>
      <c r="E977">
        <v>16246</v>
      </c>
      <c r="F977">
        <v>0.87545977546384002</v>
      </c>
      <c r="G977">
        <v>2.9915056013788002</v>
      </c>
      <c r="H977" t="s">
        <v>126</v>
      </c>
      <c r="I977" t="s">
        <v>2</v>
      </c>
      <c r="J977" t="s">
        <v>3</v>
      </c>
      <c r="K977">
        <v>0</v>
      </c>
      <c r="L977">
        <v>0.94031214446699096</v>
      </c>
    </row>
    <row r="978" spans="1:12">
      <c r="A978" t="str">
        <f t="shared" si="15"/>
        <v>S0800001610</v>
      </c>
      <c r="B978">
        <v>10</v>
      </c>
      <c r="C978">
        <v>128</v>
      </c>
      <c r="D978">
        <v>139.48448678601599</v>
      </c>
      <c r="E978">
        <v>4384</v>
      </c>
      <c r="F978">
        <v>0.91766477369175603</v>
      </c>
      <c r="G978">
        <v>2.9197080291970798</v>
      </c>
      <c r="H978" t="s">
        <v>126</v>
      </c>
      <c r="I978" t="s">
        <v>4</v>
      </c>
      <c r="J978" t="s">
        <v>5</v>
      </c>
      <c r="K978">
        <v>0</v>
      </c>
      <c r="L978">
        <v>0.94071864101235603</v>
      </c>
    </row>
    <row r="979" spans="1:12">
      <c r="A979" t="str">
        <f t="shared" si="15"/>
        <v>S0800001710</v>
      </c>
      <c r="B979">
        <v>10</v>
      </c>
      <c r="C979">
        <v>210</v>
      </c>
      <c r="D979">
        <v>193.82929913078101</v>
      </c>
      <c r="E979">
        <v>6544</v>
      </c>
      <c r="F979">
        <v>1.0834275361967201</v>
      </c>
      <c r="G979">
        <v>3.20904645476773</v>
      </c>
      <c r="H979" t="s">
        <v>126</v>
      </c>
      <c r="I979" t="s">
        <v>6</v>
      </c>
      <c r="J979" t="s">
        <v>7</v>
      </c>
      <c r="K979">
        <v>0</v>
      </c>
      <c r="L979">
        <v>1.08425325625257</v>
      </c>
    </row>
    <row r="980" spans="1:12">
      <c r="A980" t="str">
        <f t="shared" si="15"/>
        <v>S0800001810</v>
      </c>
      <c r="B980">
        <v>10</v>
      </c>
      <c r="C980">
        <v>383</v>
      </c>
      <c r="D980">
        <v>417.23056524965301</v>
      </c>
      <c r="E980">
        <v>10933</v>
      </c>
      <c r="F980">
        <v>0.91795767592153599</v>
      </c>
      <c r="G980">
        <v>3.5031555840117101</v>
      </c>
      <c r="H980" t="s">
        <v>126</v>
      </c>
      <c r="I980" t="s">
        <v>127</v>
      </c>
      <c r="J980" t="s">
        <v>9</v>
      </c>
      <c r="K980">
        <v>0</v>
      </c>
      <c r="L980">
        <v>0.96138947913866901</v>
      </c>
    </row>
    <row r="981" spans="1:12">
      <c r="A981" t="str">
        <f t="shared" si="15"/>
        <v>S0800001910</v>
      </c>
      <c r="B981">
        <v>10</v>
      </c>
      <c r="C981">
        <v>327</v>
      </c>
      <c r="D981">
        <v>288.55422483313299</v>
      </c>
      <c r="E981">
        <v>8579</v>
      </c>
      <c r="F981">
        <v>1.1332358768585</v>
      </c>
      <c r="G981">
        <v>3.8116330574659099</v>
      </c>
      <c r="H981" t="s">
        <v>126</v>
      </c>
      <c r="I981" t="s">
        <v>10</v>
      </c>
      <c r="J981" t="s">
        <v>11</v>
      </c>
      <c r="K981">
        <v>0</v>
      </c>
      <c r="L981">
        <v>1.07217697339998</v>
      </c>
    </row>
    <row r="982" spans="1:12">
      <c r="A982" t="str">
        <f t="shared" si="15"/>
        <v>S0800002010</v>
      </c>
      <c r="B982">
        <v>10</v>
      </c>
      <c r="C982">
        <v>577</v>
      </c>
      <c r="D982">
        <v>579.54889495462999</v>
      </c>
      <c r="E982">
        <v>22773</v>
      </c>
      <c r="F982">
        <v>0.99560193285360499</v>
      </c>
      <c r="G982">
        <v>2.53370219119132</v>
      </c>
      <c r="H982" t="s">
        <v>126</v>
      </c>
      <c r="I982" t="s">
        <v>12</v>
      </c>
      <c r="J982" t="s">
        <v>13</v>
      </c>
      <c r="K982">
        <v>0</v>
      </c>
      <c r="L982">
        <v>0.98998047285394597</v>
      </c>
    </row>
    <row r="983" spans="1:12">
      <c r="A983" t="str">
        <f t="shared" si="15"/>
        <v>S0800002110</v>
      </c>
      <c r="B983">
        <v>10</v>
      </c>
      <c r="C983">
        <v>1478</v>
      </c>
      <c r="D983">
        <v>1528.3561228179799</v>
      </c>
      <c r="E983">
        <v>67804</v>
      </c>
      <c r="F983">
        <v>0.96705210123074303</v>
      </c>
      <c r="G983">
        <v>2.1798124004483501</v>
      </c>
      <c r="H983" t="s">
        <v>126</v>
      </c>
      <c r="I983" t="s">
        <v>14</v>
      </c>
      <c r="J983" t="s">
        <v>15</v>
      </c>
      <c r="K983">
        <v>0</v>
      </c>
      <c r="L983">
        <v>0.978103023440416</v>
      </c>
    </row>
    <row r="984" spans="1:12">
      <c r="A984" t="str">
        <f t="shared" si="15"/>
        <v>S0800002210</v>
      </c>
      <c r="B984">
        <v>10</v>
      </c>
      <c r="C984">
        <v>289</v>
      </c>
      <c r="D984">
        <v>311.83864104147199</v>
      </c>
      <c r="E984">
        <v>10829</v>
      </c>
      <c r="F984">
        <v>0.92676135014828198</v>
      </c>
      <c r="G984">
        <v>2.6687598116169502</v>
      </c>
      <c r="H984" t="s">
        <v>126</v>
      </c>
      <c r="I984" t="s">
        <v>16</v>
      </c>
      <c r="J984" t="s">
        <v>17</v>
      </c>
      <c r="K984">
        <v>0</v>
      </c>
      <c r="L984">
        <v>0.96316143687486999</v>
      </c>
    </row>
    <row r="985" spans="1:12">
      <c r="A985" t="str">
        <f t="shared" si="15"/>
        <v>S0800002310</v>
      </c>
      <c r="B985">
        <v>10</v>
      </c>
      <c r="C985">
        <v>713</v>
      </c>
      <c r="D985">
        <v>752.71527373437698</v>
      </c>
      <c r="E985">
        <v>24617</v>
      </c>
      <c r="F985">
        <v>0.94723732183971598</v>
      </c>
      <c r="G985">
        <v>2.8963724255595702</v>
      </c>
      <c r="H985" t="s">
        <v>126</v>
      </c>
      <c r="I985" t="s">
        <v>18</v>
      </c>
      <c r="J985" t="s">
        <v>19</v>
      </c>
      <c r="K985">
        <v>0</v>
      </c>
      <c r="L985">
        <v>1.00607068015676</v>
      </c>
    </row>
    <row r="986" spans="1:12">
      <c r="A986" t="str">
        <f t="shared" si="15"/>
        <v>S0800002410</v>
      </c>
      <c r="B986">
        <v>10</v>
      </c>
      <c r="C986">
        <v>877</v>
      </c>
      <c r="D986">
        <v>979.21688917655604</v>
      </c>
      <c r="E986">
        <v>30651</v>
      </c>
      <c r="F986">
        <v>0.89561363748279299</v>
      </c>
      <c r="G986">
        <v>2.8612443313431899</v>
      </c>
      <c r="H986" t="s">
        <v>126</v>
      </c>
      <c r="I986" t="s">
        <v>20</v>
      </c>
      <c r="J986" t="s">
        <v>21</v>
      </c>
      <c r="K986">
        <v>0</v>
      </c>
      <c r="L986">
        <v>0.90099832830783799</v>
      </c>
    </row>
    <row r="987" spans="1:12">
      <c r="A987" t="str">
        <f t="shared" si="15"/>
        <v>S0800002510</v>
      </c>
      <c r="B987">
        <v>10</v>
      </c>
      <c r="C987">
        <v>36</v>
      </c>
      <c r="D987">
        <v>24.338165619139499</v>
      </c>
      <c r="E987">
        <v>765</v>
      </c>
      <c r="F987">
        <v>1.4791583130525501</v>
      </c>
      <c r="G987">
        <v>4.7058823529411802</v>
      </c>
      <c r="H987" t="s">
        <v>126</v>
      </c>
      <c r="I987" t="s">
        <v>22</v>
      </c>
      <c r="J987" t="s">
        <v>23</v>
      </c>
      <c r="K987">
        <v>0</v>
      </c>
      <c r="L987">
        <v>1.23245129966014</v>
      </c>
    </row>
    <row r="988" spans="1:12">
      <c r="A988" t="str">
        <f t="shared" si="15"/>
        <v>S0800002610</v>
      </c>
      <c r="B988">
        <v>10</v>
      </c>
      <c r="C988">
        <v>25</v>
      </c>
      <c r="D988">
        <v>20.336451758275398</v>
      </c>
      <c r="E988">
        <v>916</v>
      </c>
      <c r="F988">
        <v>1.22931966191334</v>
      </c>
      <c r="G988">
        <v>2.7292576419214001</v>
      </c>
      <c r="H988" t="s">
        <v>126</v>
      </c>
      <c r="I988" t="s">
        <v>24</v>
      </c>
      <c r="J988" t="s">
        <v>25</v>
      </c>
      <c r="K988">
        <v>0</v>
      </c>
      <c r="L988">
        <v>1.02324738165569</v>
      </c>
    </row>
    <row r="989" spans="1:12">
      <c r="A989" t="str">
        <f t="shared" si="15"/>
        <v>S0800002710</v>
      </c>
      <c r="B989">
        <v>10</v>
      </c>
      <c r="C989">
        <v>523</v>
      </c>
      <c r="D989">
        <v>616.432607319456</v>
      </c>
      <c r="E989">
        <v>16793</v>
      </c>
      <c r="F989">
        <v>0.848430134600202</v>
      </c>
      <c r="G989">
        <v>3.1143929018043202</v>
      </c>
      <c r="H989" t="s">
        <v>126</v>
      </c>
      <c r="I989" t="s">
        <v>128</v>
      </c>
      <c r="J989" t="s">
        <v>27</v>
      </c>
      <c r="K989">
        <v>0</v>
      </c>
      <c r="L989">
        <v>0.94549533000505404</v>
      </c>
    </row>
    <row r="990" spans="1:12">
      <c r="A990" t="str">
        <f t="shared" si="15"/>
        <v>S0800002810</v>
      </c>
      <c r="B990">
        <v>10</v>
      </c>
      <c r="C990">
        <v>21</v>
      </c>
      <c r="D990">
        <v>24.354015869595699</v>
      </c>
      <c r="E990">
        <v>1128</v>
      </c>
      <c r="F990">
        <v>0.86228078820532605</v>
      </c>
      <c r="G990">
        <v>1.86170212765957</v>
      </c>
      <c r="H990" t="s">
        <v>126</v>
      </c>
      <c r="I990" t="s">
        <v>28</v>
      </c>
      <c r="J990" t="s">
        <v>29</v>
      </c>
      <c r="K990">
        <v>0</v>
      </c>
      <c r="L990">
        <v>1.2486115386023</v>
      </c>
    </row>
    <row r="991" spans="1:12">
      <c r="A991" t="str">
        <f t="shared" si="15"/>
        <v>S0810000110</v>
      </c>
      <c r="B991">
        <v>10</v>
      </c>
      <c r="C991">
        <v>25</v>
      </c>
      <c r="D991">
        <v>33.996307492108002</v>
      </c>
      <c r="E991">
        <v>3436</v>
      </c>
      <c r="F991">
        <v>0.73537398159501899</v>
      </c>
      <c r="G991">
        <v>0.727590221187427</v>
      </c>
      <c r="H991" t="s">
        <v>126</v>
      </c>
      <c r="I991" t="s">
        <v>30</v>
      </c>
      <c r="J991" t="s">
        <v>129</v>
      </c>
      <c r="K991">
        <v>0</v>
      </c>
      <c r="L991">
        <v>0.81484672133748104</v>
      </c>
    </row>
    <row r="992" spans="1:12">
      <c r="A992" t="str">
        <f t="shared" si="15"/>
        <v>S0800001511</v>
      </c>
      <c r="B992">
        <v>11</v>
      </c>
      <c r="C992">
        <v>472</v>
      </c>
      <c r="D992">
        <v>513.51807889250495</v>
      </c>
      <c r="E992">
        <v>16400</v>
      </c>
      <c r="F992">
        <v>0.91914972305931997</v>
      </c>
      <c r="G992">
        <v>2.8780487804877999</v>
      </c>
      <c r="H992" t="s">
        <v>126</v>
      </c>
      <c r="I992" t="s">
        <v>2</v>
      </c>
      <c r="J992" t="s">
        <v>3</v>
      </c>
      <c r="K992">
        <v>0</v>
      </c>
      <c r="L992">
        <v>0.94031214446699096</v>
      </c>
    </row>
    <row r="993" spans="1:12">
      <c r="A993" t="str">
        <f t="shared" si="15"/>
        <v>S0800001611</v>
      </c>
      <c r="B993">
        <v>11</v>
      </c>
      <c r="C993">
        <v>127</v>
      </c>
      <c r="D993">
        <v>142.024658025663</v>
      </c>
      <c r="E993">
        <v>4413</v>
      </c>
      <c r="F993">
        <v>0.89421091918455198</v>
      </c>
      <c r="G993">
        <v>2.8778608656242901</v>
      </c>
      <c r="H993" t="s">
        <v>126</v>
      </c>
      <c r="I993" t="s">
        <v>4</v>
      </c>
      <c r="J993" t="s">
        <v>5</v>
      </c>
      <c r="K993">
        <v>0</v>
      </c>
      <c r="L993">
        <v>0.94071864101235603</v>
      </c>
    </row>
    <row r="994" spans="1:12">
      <c r="A994" t="str">
        <f t="shared" si="15"/>
        <v>S0800001711</v>
      </c>
      <c r="B994">
        <v>11</v>
      </c>
      <c r="C994">
        <v>191</v>
      </c>
      <c r="D994">
        <v>192.202057481624</v>
      </c>
      <c r="E994">
        <v>6637</v>
      </c>
      <c r="F994">
        <v>0.99374586569273105</v>
      </c>
      <c r="G994">
        <v>2.87780623775802</v>
      </c>
      <c r="H994" t="s">
        <v>126</v>
      </c>
      <c r="I994" t="s">
        <v>6</v>
      </c>
      <c r="J994" t="s">
        <v>7</v>
      </c>
      <c r="K994">
        <v>0</v>
      </c>
      <c r="L994">
        <v>1.08425325625257</v>
      </c>
    </row>
    <row r="995" spans="1:12">
      <c r="A995" t="str">
        <f t="shared" si="15"/>
        <v>S0800001811</v>
      </c>
      <c r="B995">
        <v>11</v>
      </c>
      <c r="C995">
        <v>353</v>
      </c>
      <c r="D995">
        <v>395.872840168918</v>
      </c>
      <c r="E995">
        <v>10734</v>
      </c>
      <c r="F995">
        <v>0.89170047596439195</v>
      </c>
      <c r="G995">
        <v>3.28861561393702</v>
      </c>
      <c r="H995" t="s">
        <v>126</v>
      </c>
      <c r="I995" t="s">
        <v>127</v>
      </c>
      <c r="J995" t="s">
        <v>9</v>
      </c>
      <c r="K995">
        <v>0</v>
      </c>
      <c r="L995">
        <v>0.96138947913866901</v>
      </c>
    </row>
    <row r="996" spans="1:12">
      <c r="A996" t="str">
        <f t="shared" si="15"/>
        <v>S0800001911</v>
      </c>
      <c r="B996">
        <v>11</v>
      </c>
      <c r="C996">
        <v>281</v>
      </c>
      <c r="D996">
        <v>280.17066435465699</v>
      </c>
      <c r="E996">
        <v>8530</v>
      </c>
      <c r="F996">
        <v>1.0029601087867399</v>
      </c>
      <c r="G996">
        <v>3.2942555685814798</v>
      </c>
      <c r="H996" t="s">
        <v>126</v>
      </c>
      <c r="I996" t="s">
        <v>10</v>
      </c>
      <c r="J996" t="s">
        <v>11</v>
      </c>
      <c r="K996">
        <v>0</v>
      </c>
      <c r="L996">
        <v>1.07217697339998</v>
      </c>
    </row>
    <row r="997" spans="1:12">
      <c r="A997" t="str">
        <f t="shared" si="15"/>
        <v>S0800002011</v>
      </c>
      <c r="B997">
        <v>11</v>
      </c>
      <c r="C997">
        <v>578</v>
      </c>
      <c r="D997">
        <v>585.386878047442</v>
      </c>
      <c r="E997">
        <v>21642</v>
      </c>
      <c r="F997">
        <v>0.98738120322737499</v>
      </c>
      <c r="G997">
        <v>2.6707328343036698</v>
      </c>
      <c r="H997" t="s">
        <v>126</v>
      </c>
      <c r="I997" t="s">
        <v>12</v>
      </c>
      <c r="J997" t="s">
        <v>13</v>
      </c>
      <c r="K997">
        <v>0</v>
      </c>
      <c r="L997">
        <v>0.98998047285394597</v>
      </c>
    </row>
    <row r="998" spans="1:12">
      <c r="A998" t="str">
        <f t="shared" si="15"/>
        <v>S0800002111</v>
      </c>
      <c r="B998">
        <v>11</v>
      </c>
      <c r="C998">
        <v>1420</v>
      </c>
      <c r="D998">
        <v>1547.75630621461</v>
      </c>
      <c r="E998">
        <v>69239</v>
      </c>
      <c r="F998">
        <v>0.91745709211351001</v>
      </c>
      <c r="G998">
        <v>2.0508672857782502</v>
      </c>
      <c r="H998" t="s">
        <v>126</v>
      </c>
      <c r="I998" t="s">
        <v>14</v>
      </c>
      <c r="J998" t="s">
        <v>15</v>
      </c>
      <c r="K998">
        <v>0</v>
      </c>
      <c r="L998">
        <v>0.978103023440416</v>
      </c>
    </row>
    <row r="999" spans="1:12">
      <c r="A999" t="str">
        <f t="shared" si="15"/>
        <v>S0800002211</v>
      </c>
      <c r="B999">
        <v>11</v>
      </c>
      <c r="C999">
        <v>307</v>
      </c>
      <c r="D999">
        <v>333.31016677648398</v>
      </c>
      <c r="E999">
        <v>10779</v>
      </c>
      <c r="F999">
        <v>0.92106401364550095</v>
      </c>
      <c r="G999">
        <v>2.8481306243621898</v>
      </c>
      <c r="H999" t="s">
        <v>126</v>
      </c>
      <c r="I999" t="s">
        <v>16</v>
      </c>
      <c r="J999" t="s">
        <v>17</v>
      </c>
      <c r="K999">
        <v>0</v>
      </c>
      <c r="L999">
        <v>0.96316143687486999</v>
      </c>
    </row>
    <row r="1000" spans="1:12">
      <c r="A1000" t="str">
        <f t="shared" si="15"/>
        <v>S0800002311</v>
      </c>
      <c r="B1000">
        <v>11</v>
      </c>
      <c r="C1000">
        <v>632</v>
      </c>
      <c r="D1000">
        <v>735.84642830590406</v>
      </c>
      <c r="E1000">
        <v>23914</v>
      </c>
      <c r="F1000">
        <v>0.85887486259193602</v>
      </c>
      <c r="G1000">
        <v>2.64280337877394</v>
      </c>
      <c r="H1000" t="s">
        <v>126</v>
      </c>
      <c r="I1000" t="s">
        <v>18</v>
      </c>
      <c r="J1000" t="s">
        <v>19</v>
      </c>
      <c r="K1000">
        <v>0</v>
      </c>
      <c r="L1000">
        <v>1.00607068015676</v>
      </c>
    </row>
    <row r="1001" spans="1:12">
      <c r="A1001" t="str">
        <f t="shared" si="15"/>
        <v>S0800002411</v>
      </c>
      <c r="B1001">
        <v>11</v>
      </c>
      <c r="C1001">
        <v>797</v>
      </c>
      <c r="D1001">
        <v>950.29898238823796</v>
      </c>
      <c r="E1001">
        <v>30449</v>
      </c>
      <c r="F1001">
        <v>0.83868341939820301</v>
      </c>
      <c r="G1001">
        <v>2.61749154323623</v>
      </c>
      <c r="H1001" t="s">
        <v>126</v>
      </c>
      <c r="I1001" t="s">
        <v>20</v>
      </c>
      <c r="J1001" t="s">
        <v>21</v>
      </c>
      <c r="K1001">
        <v>0</v>
      </c>
      <c r="L1001">
        <v>0.90099832830783799</v>
      </c>
    </row>
    <row r="1002" spans="1:12">
      <c r="A1002" t="str">
        <f t="shared" si="15"/>
        <v>S0800002511</v>
      </c>
      <c r="B1002">
        <v>11</v>
      </c>
      <c r="C1002">
        <v>23</v>
      </c>
      <c r="D1002">
        <v>18.675913514791699</v>
      </c>
      <c r="E1002">
        <v>764</v>
      </c>
      <c r="F1002">
        <v>1.23153279660369</v>
      </c>
      <c r="G1002">
        <v>3.0104712041884798</v>
      </c>
      <c r="H1002" t="s">
        <v>126</v>
      </c>
      <c r="I1002" t="s">
        <v>22</v>
      </c>
      <c r="J1002" t="s">
        <v>23</v>
      </c>
      <c r="K1002">
        <v>0</v>
      </c>
      <c r="L1002">
        <v>1.23245129966014</v>
      </c>
    </row>
    <row r="1003" spans="1:12">
      <c r="A1003" t="str">
        <f t="shared" si="15"/>
        <v>S0800002611</v>
      </c>
      <c r="B1003">
        <v>11</v>
      </c>
      <c r="C1003">
        <v>18</v>
      </c>
      <c r="D1003">
        <v>19.746333905025899</v>
      </c>
      <c r="E1003">
        <v>883</v>
      </c>
      <c r="F1003">
        <v>0.91156161374433997</v>
      </c>
      <c r="G1003">
        <v>2.0385050962627398</v>
      </c>
      <c r="H1003" t="s">
        <v>126</v>
      </c>
      <c r="I1003" t="s">
        <v>24</v>
      </c>
      <c r="J1003" t="s">
        <v>25</v>
      </c>
      <c r="K1003">
        <v>0</v>
      </c>
      <c r="L1003">
        <v>1.02324738165569</v>
      </c>
    </row>
    <row r="1004" spans="1:12">
      <c r="A1004" t="str">
        <f t="shared" si="15"/>
        <v>S0800002711</v>
      </c>
      <c r="B1004">
        <v>11</v>
      </c>
      <c r="C1004">
        <v>496</v>
      </c>
      <c r="D1004">
        <v>586.25775447972899</v>
      </c>
      <c r="E1004">
        <v>16334</v>
      </c>
      <c r="F1004">
        <v>0.84604424625508401</v>
      </c>
      <c r="G1004">
        <v>3.0366107505816098</v>
      </c>
      <c r="H1004" t="s">
        <v>126</v>
      </c>
      <c r="I1004" t="s">
        <v>128</v>
      </c>
      <c r="J1004" t="s">
        <v>27</v>
      </c>
      <c r="K1004">
        <v>0</v>
      </c>
      <c r="L1004">
        <v>0.94549533000505404</v>
      </c>
    </row>
    <row r="1005" spans="1:12">
      <c r="A1005" t="str">
        <f t="shared" si="15"/>
        <v>S0800002811</v>
      </c>
      <c r="B1005">
        <v>11</v>
      </c>
      <c r="C1005">
        <v>22</v>
      </c>
      <c r="D1005">
        <v>25.203661017243</v>
      </c>
      <c r="E1005">
        <v>1214</v>
      </c>
      <c r="F1005">
        <v>0.87288906103556996</v>
      </c>
      <c r="G1005">
        <v>1.8121911037891301</v>
      </c>
      <c r="H1005" t="s">
        <v>126</v>
      </c>
      <c r="I1005" t="s">
        <v>28</v>
      </c>
      <c r="J1005" t="s">
        <v>29</v>
      </c>
      <c r="K1005">
        <v>0</v>
      </c>
      <c r="L1005">
        <v>1.2486115386023</v>
      </c>
    </row>
    <row r="1006" spans="1:12">
      <c r="A1006" t="str">
        <f t="shared" si="15"/>
        <v>S0810000111</v>
      </c>
      <c r="B1006">
        <v>11</v>
      </c>
      <c r="C1006">
        <v>22</v>
      </c>
      <c r="D1006">
        <v>28.999550827259998</v>
      </c>
      <c r="E1006">
        <v>3319</v>
      </c>
      <c r="F1006">
        <v>0.75863243989695495</v>
      </c>
      <c r="G1006">
        <v>0.66285025610123505</v>
      </c>
      <c r="H1006" t="s">
        <v>126</v>
      </c>
      <c r="I1006" t="s">
        <v>30</v>
      </c>
      <c r="J1006" t="s">
        <v>129</v>
      </c>
      <c r="K1006">
        <v>0</v>
      </c>
      <c r="L1006">
        <v>0.81484672133748104</v>
      </c>
    </row>
    <row r="1007" spans="1:12">
      <c r="A1007" t="str">
        <f t="shared" si="15"/>
        <v>S0800001512</v>
      </c>
      <c r="B1007">
        <v>12</v>
      </c>
      <c r="C1007">
        <v>528</v>
      </c>
      <c r="D1007">
        <v>522.78929058456094</v>
      </c>
      <c r="E1007">
        <v>16411</v>
      </c>
      <c r="F1007">
        <v>1.0099671311353999</v>
      </c>
      <c r="G1007">
        <v>3.2173542136372002</v>
      </c>
      <c r="H1007" t="s">
        <v>126</v>
      </c>
      <c r="I1007" t="s">
        <v>2</v>
      </c>
      <c r="J1007" t="s">
        <v>3</v>
      </c>
      <c r="K1007">
        <v>0</v>
      </c>
      <c r="L1007">
        <v>0.94031214446699096</v>
      </c>
    </row>
    <row r="1008" spans="1:12">
      <c r="A1008" t="str">
        <f t="shared" si="15"/>
        <v>S0800001612</v>
      </c>
      <c r="B1008">
        <v>12</v>
      </c>
      <c r="C1008">
        <v>118</v>
      </c>
      <c r="D1008">
        <v>154.31184299987601</v>
      </c>
      <c r="E1008">
        <v>4416</v>
      </c>
      <c r="F1008">
        <v>0.76468531323350897</v>
      </c>
      <c r="G1008">
        <v>2.6721014492753601</v>
      </c>
      <c r="H1008" t="s">
        <v>126</v>
      </c>
      <c r="I1008" t="s">
        <v>4</v>
      </c>
      <c r="J1008" t="s">
        <v>5</v>
      </c>
      <c r="K1008">
        <v>0</v>
      </c>
      <c r="L1008">
        <v>0.94071864101235603</v>
      </c>
    </row>
    <row r="1009" spans="1:12">
      <c r="A1009" t="str">
        <f t="shared" si="15"/>
        <v>S0800001712</v>
      </c>
      <c r="B1009">
        <v>12</v>
      </c>
      <c r="C1009">
        <v>217</v>
      </c>
      <c r="D1009">
        <v>206.94441933142201</v>
      </c>
      <c r="E1009">
        <v>6668</v>
      </c>
      <c r="F1009">
        <v>1.0485907312749201</v>
      </c>
      <c r="G1009">
        <v>3.2543491301739702</v>
      </c>
      <c r="H1009" t="s">
        <v>126</v>
      </c>
      <c r="I1009" t="s">
        <v>6</v>
      </c>
      <c r="J1009" t="s">
        <v>7</v>
      </c>
      <c r="K1009">
        <v>0</v>
      </c>
      <c r="L1009">
        <v>1.08425325625257</v>
      </c>
    </row>
    <row r="1010" spans="1:12">
      <c r="A1010" t="str">
        <f t="shared" si="15"/>
        <v>S0800001812</v>
      </c>
      <c r="B1010">
        <v>12</v>
      </c>
      <c r="C1010">
        <v>391</v>
      </c>
      <c r="D1010">
        <v>421.18512714498002</v>
      </c>
      <c r="E1010">
        <v>10812</v>
      </c>
      <c r="F1010">
        <v>0.92833287502436002</v>
      </c>
      <c r="G1010">
        <v>3.6163522012578602</v>
      </c>
      <c r="H1010" t="s">
        <v>126</v>
      </c>
      <c r="I1010" t="s">
        <v>127</v>
      </c>
      <c r="J1010" t="s">
        <v>9</v>
      </c>
      <c r="K1010">
        <v>0</v>
      </c>
      <c r="L1010">
        <v>0.96138947913866901</v>
      </c>
    </row>
    <row r="1011" spans="1:12">
      <c r="A1011" t="str">
        <f t="shared" si="15"/>
        <v>S0800001912</v>
      </c>
      <c r="B1011">
        <v>12</v>
      </c>
      <c r="C1011">
        <v>289</v>
      </c>
      <c r="D1011">
        <v>277.016260283782</v>
      </c>
      <c r="E1011">
        <v>8396</v>
      </c>
      <c r="F1011">
        <v>1.0432600588281</v>
      </c>
      <c r="G1011">
        <v>3.4421152929966601</v>
      </c>
      <c r="H1011" t="s">
        <v>126</v>
      </c>
      <c r="I1011" t="s">
        <v>10</v>
      </c>
      <c r="J1011" t="s">
        <v>11</v>
      </c>
      <c r="K1011">
        <v>0</v>
      </c>
      <c r="L1011">
        <v>1.07217697339998</v>
      </c>
    </row>
    <row r="1012" spans="1:12">
      <c r="A1012" t="str">
        <f t="shared" si="15"/>
        <v>S0800002012</v>
      </c>
      <c r="B1012">
        <v>12</v>
      </c>
      <c r="C1012">
        <v>624</v>
      </c>
      <c r="D1012">
        <v>582.82939651211302</v>
      </c>
      <c r="E1012">
        <v>21685</v>
      </c>
      <c r="F1012">
        <v>1.07063920202767</v>
      </c>
      <c r="G1012">
        <v>2.8775651371916098</v>
      </c>
      <c r="H1012" t="s">
        <v>126</v>
      </c>
      <c r="I1012" t="s">
        <v>12</v>
      </c>
      <c r="J1012" t="s">
        <v>13</v>
      </c>
      <c r="K1012">
        <v>0</v>
      </c>
      <c r="L1012">
        <v>0.98998047285394597</v>
      </c>
    </row>
    <row r="1013" spans="1:12">
      <c r="A1013" t="str">
        <f t="shared" si="15"/>
        <v>S0800002112</v>
      </c>
      <c r="B1013">
        <v>12</v>
      </c>
      <c r="C1013">
        <v>1520</v>
      </c>
      <c r="D1013">
        <v>1652.20779581786</v>
      </c>
      <c r="E1013">
        <v>70758</v>
      </c>
      <c r="F1013">
        <v>0.91998113303150297</v>
      </c>
      <c r="G1013">
        <v>2.14816699171825</v>
      </c>
      <c r="H1013" t="s">
        <v>126</v>
      </c>
      <c r="I1013" t="s">
        <v>14</v>
      </c>
      <c r="J1013" t="s">
        <v>15</v>
      </c>
      <c r="K1013">
        <v>0</v>
      </c>
      <c r="L1013">
        <v>0.978103023440416</v>
      </c>
    </row>
    <row r="1014" spans="1:12">
      <c r="A1014" t="str">
        <f t="shared" si="15"/>
        <v>S0800002212</v>
      </c>
      <c r="B1014">
        <v>12</v>
      </c>
      <c r="C1014">
        <v>307</v>
      </c>
      <c r="D1014">
        <v>327.38246260808899</v>
      </c>
      <c r="E1014">
        <v>10941</v>
      </c>
      <c r="F1014">
        <v>0.93774112869176895</v>
      </c>
      <c r="G1014">
        <v>2.8059592359016499</v>
      </c>
      <c r="H1014" t="s">
        <v>126</v>
      </c>
      <c r="I1014" t="s">
        <v>16</v>
      </c>
      <c r="J1014" t="s">
        <v>17</v>
      </c>
      <c r="K1014">
        <v>0</v>
      </c>
      <c r="L1014">
        <v>0.96316143687486999</v>
      </c>
    </row>
    <row r="1015" spans="1:12">
      <c r="A1015" t="str">
        <f t="shared" si="15"/>
        <v>S0800002312</v>
      </c>
      <c r="B1015">
        <v>12</v>
      </c>
      <c r="C1015">
        <v>718</v>
      </c>
      <c r="D1015">
        <v>762.72608710910197</v>
      </c>
      <c r="E1015">
        <v>24743</v>
      </c>
      <c r="F1015">
        <v>0.94136022372248596</v>
      </c>
      <c r="G1015">
        <v>2.90183082083822</v>
      </c>
      <c r="H1015" t="s">
        <v>126</v>
      </c>
      <c r="I1015" t="s">
        <v>18</v>
      </c>
      <c r="J1015" t="s">
        <v>19</v>
      </c>
      <c r="K1015">
        <v>0</v>
      </c>
      <c r="L1015">
        <v>1.00607068015676</v>
      </c>
    </row>
    <row r="1016" spans="1:12">
      <c r="A1016" t="str">
        <f t="shared" si="15"/>
        <v>S0800002412</v>
      </c>
      <c r="B1016">
        <v>12</v>
      </c>
      <c r="C1016">
        <v>886</v>
      </c>
      <c r="D1016">
        <v>1009.62252821557</v>
      </c>
      <c r="E1016">
        <v>30722</v>
      </c>
      <c r="F1016">
        <v>0.87755569555875501</v>
      </c>
      <c r="G1016">
        <v>2.8839268276804901</v>
      </c>
      <c r="H1016" t="s">
        <v>126</v>
      </c>
      <c r="I1016" t="s">
        <v>20</v>
      </c>
      <c r="J1016" t="s">
        <v>21</v>
      </c>
      <c r="K1016">
        <v>0</v>
      </c>
      <c r="L1016">
        <v>0.90099832830783799</v>
      </c>
    </row>
    <row r="1017" spans="1:12">
      <c r="A1017" t="str">
        <f t="shared" si="15"/>
        <v>S0800002512</v>
      </c>
      <c r="B1017">
        <v>12</v>
      </c>
      <c r="C1017">
        <v>27</v>
      </c>
      <c r="D1017">
        <v>23.1368343498069</v>
      </c>
      <c r="E1017">
        <v>830</v>
      </c>
      <c r="F1017">
        <v>1.16697036387026</v>
      </c>
      <c r="G1017">
        <v>3.2530120481927698</v>
      </c>
      <c r="H1017" t="s">
        <v>126</v>
      </c>
      <c r="I1017" t="s">
        <v>22</v>
      </c>
      <c r="J1017" t="s">
        <v>23</v>
      </c>
      <c r="K1017">
        <v>0</v>
      </c>
      <c r="L1017">
        <v>1.23245129966014</v>
      </c>
    </row>
    <row r="1018" spans="1:12">
      <c r="A1018" t="str">
        <f t="shared" si="15"/>
        <v>S0800002612</v>
      </c>
      <c r="B1018">
        <v>12</v>
      </c>
      <c r="C1018">
        <v>18</v>
      </c>
      <c r="D1018">
        <v>20.175089618916399</v>
      </c>
      <c r="E1018">
        <v>915</v>
      </c>
      <c r="F1018">
        <v>0.89218934537584205</v>
      </c>
      <c r="G1018">
        <v>1.9672131147541001</v>
      </c>
      <c r="H1018" t="s">
        <v>126</v>
      </c>
      <c r="I1018" t="s">
        <v>24</v>
      </c>
      <c r="J1018" t="s">
        <v>25</v>
      </c>
      <c r="K1018">
        <v>0</v>
      </c>
      <c r="L1018">
        <v>1.02324738165569</v>
      </c>
    </row>
    <row r="1019" spans="1:12">
      <c r="A1019" t="str">
        <f t="shared" si="15"/>
        <v>S0800002712</v>
      </c>
      <c r="B1019">
        <v>12</v>
      </c>
      <c r="C1019">
        <v>539</v>
      </c>
      <c r="D1019">
        <v>599.82645994265397</v>
      </c>
      <c r="E1019">
        <v>16261</v>
      </c>
      <c r="F1019">
        <v>0.89859323653633205</v>
      </c>
      <c r="G1019">
        <v>3.3146792940163601</v>
      </c>
      <c r="H1019" t="s">
        <v>126</v>
      </c>
      <c r="I1019" t="s">
        <v>128</v>
      </c>
      <c r="J1019" t="s">
        <v>27</v>
      </c>
      <c r="K1019">
        <v>0</v>
      </c>
      <c r="L1019">
        <v>0.94549533000505404</v>
      </c>
    </row>
    <row r="1020" spans="1:12">
      <c r="A1020" t="str">
        <f t="shared" si="15"/>
        <v>S0800002812</v>
      </c>
      <c r="B1020">
        <v>12</v>
      </c>
      <c r="C1020">
        <v>32</v>
      </c>
      <c r="D1020">
        <v>30.2644134546175</v>
      </c>
      <c r="E1020">
        <v>1151</v>
      </c>
      <c r="F1020">
        <v>1.0573474370479701</v>
      </c>
      <c r="G1020">
        <v>2.7801911381407498</v>
      </c>
      <c r="H1020" t="s">
        <v>126</v>
      </c>
      <c r="I1020" t="s">
        <v>28</v>
      </c>
      <c r="J1020" t="s">
        <v>29</v>
      </c>
      <c r="K1020">
        <v>0</v>
      </c>
      <c r="L1020">
        <v>1.2486115386023</v>
      </c>
    </row>
    <row r="1021" spans="1:12">
      <c r="A1021" t="str">
        <f t="shared" si="15"/>
        <v>S0810000112</v>
      </c>
      <c r="B1021">
        <v>12</v>
      </c>
      <c r="C1021">
        <v>41</v>
      </c>
      <c r="D1021">
        <v>33.606003562645803</v>
      </c>
      <c r="E1021">
        <v>3678</v>
      </c>
      <c r="F1021">
        <v>1.22002010514493</v>
      </c>
      <c r="G1021">
        <v>1.1147362697118</v>
      </c>
      <c r="H1021" t="s">
        <v>126</v>
      </c>
      <c r="I1021" t="s">
        <v>30</v>
      </c>
      <c r="J1021" t="s">
        <v>129</v>
      </c>
      <c r="K1021">
        <v>0</v>
      </c>
      <c r="L1021">
        <v>0.81484672133748104</v>
      </c>
    </row>
    <row r="1022" spans="1:12">
      <c r="A1022" t="str">
        <f t="shared" si="15"/>
        <v>S0800001513</v>
      </c>
      <c r="B1022">
        <v>13</v>
      </c>
      <c r="C1022">
        <v>499</v>
      </c>
      <c r="D1022">
        <v>542.32648859507697</v>
      </c>
      <c r="E1022">
        <v>16671</v>
      </c>
      <c r="F1022">
        <v>0.92010995312562405</v>
      </c>
      <c r="G1022">
        <v>2.9932217623417898</v>
      </c>
      <c r="H1022" t="s">
        <v>126</v>
      </c>
      <c r="I1022" t="s">
        <v>2</v>
      </c>
      <c r="J1022" t="s">
        <v>3</v>
      </c>
      <c r="K1022">
        <v>1</v>
      </c>
      <c r="L1022">
        <v>0.93156738002075901</v>
      </c>
    </row>
    <row r="1023" spans="1:12">
      <c r="A1023" t="str">
        <f t="shared" si="15"/>
        <v>S0800001613</v>
      </c>
      <c r="B1023">
        <v>13</v>
      </c>
      <c r="C1023">
        <v>123</v>
      </c>
      <c r="D1023">
        <v>147.10160413666401</v>
      </c>
      <c r="E1023">
        <v>4322</v>
      </c>
      <c r="F1023">
        <v>0.83615675520252797</v>
      </c>
      <c r="G1023">
        <v>2.8459046737621501</v>
      </c>
      <c r="H1023" t="s">
        <v>126</v>
      </c>
      <c r="I1023" t="s">
        <v>4</v>
      </c>
      <c r="J1023" t="s">
        <v>5</v>
      </c>
      <c r="K1023">
        <v>1</v>
      </c>
      <c r="L1023">
        <v>0.94041618212637501</v>
      </c>
    </row>
    <row r="1024" spans="1:12">
      <c r="A1024" t="str">
        <f t="shared" ref="A1024:A1087" si="16">CONCATENATE(I1024, B1024)</f>
        <v>S0800001713</v>
      </c>
      <c r="B1024">
        <v>13</v>
      </c>
      <c r="C1024">
        <v>220</v>
      </c>
      <c r="D1024">
        <v>201.75438138132199</v>
      </c>
      <c r="E1024">
        <v>6934</v>
      </c>
      <c r="F1024">
        <v>1.0904348073819199</v>
      </c>
      <c r="G1024">
        <v>3.1727718488606902</v>
      </c>
      <c r="H1024" t="s">
        <v>126</v>
      </c>
      <c r="I1024" t="s">
        <v>6</v>
      </c>
      <c r="J1024" t="s">
        <v>7</v>
      </c>
      <c r="K1024">
        <v>1</v>
      </c>
      <c r="L1024">
        <v>1.07284170726623</v>
      </c>
    </row>
    <row r="1025" spans="1:12">
      <c r="A1025" t="str">
        <f t="shared" si="16"/>
        <v>S0800001813</v>
      </c>
      <c r="B1025">
        <v>13</v>
      </c>
      <c r="C1025">
        <v>335</v>
      </c>
      <c r="D1025">
        <v>428.18788412815297</v>
      </c>
      <c r="E1025">
        <v>10820</v>
      </c>
      <c r="F1025">
        <v>0.78236683572237098</v>
      </c>
      <c r="G1025">
        <v>3.0961182994454699</v>
      </c>
      <c r="H1025" t="s">
        <v>126</v>
      </c>
      <c r="I1025" t="s">
        <v>127</v>
      </c>
      <c r="J1025" t="s">
        <v>9</v>
      </c>
      <c r="K1025">
        <v>1</v>
      </c>
      <c r="L1025">
        <v>0.95809654839129499</v>
      </c>
    </row>
    <row r="1026" spans="1:12">
      <c r="A1026" t="str">
        <f t="shared" si="16"/>
        <v>S0800001913</v>
      </c>
      <c r="B1026">
        <v>13</v>
      </c>
      <c r="C1026">
        <v>294</v>
      </c>
      <c r="D1026">
        <v>291.50097535618397</v>
      </c>
      <c r="E1026">
        <v>8812</v>
      </c>
      <c r="F1026">
        <v>1.0085729546556801</v>
      </c>
      <c r="G1026">
        <v>3.3363595097594199</v>
      </c>
      <c r="H1026" t="s">
        <v>126</v>
      </c>
      <c r="I1026" t="s">
        <v>10</v>
      </c>
      <c r="J1026" t="s">
        <v>11</v>
      </c>
      <c r="K1026">
        <v>1</v>
      </c>
      <c r="L1026">
        <v>1.06372216694711</v>
      </c>
    </row>
    <row r="1027" spans="1:12">
      <c r="A1027" t="str">
        <f t="shared" si="16"/>
        <v>S0800002013</v>
      </c>
      <c r="B1027">
        <v>13</v>
      </c>
      <c r="C1027">
        <v>589</v>
      </c>
      <c r="D1027">
        <v>589.12008647557798</v>
      </c>
      <c r="E1027">
        <v>21751</v>
      </c>
      <c r="F1027">
        <v>0.99979615959745005</v>
      </c>
      <c r="G1027">
        <v>2.7079214748747198</v>
      </c>
      <c r="H1027" t="s">
        <v>126</v>
      </c>
      <c r="I1027" t="s">
        <v>12</v>
      </c>
      <c r="J1027" t="s">
        <v>13</v>
      </c>
      <c r="K1027">
        <v>1</v>
      </c>
      <c r="L1027">
        <v>0.98884526349938395</v>
      </c>
    </row>
    <row r="1028" spans="1:12">
      <c r="A1028" t="str">
        <f t="shared" si="16"/>
        <v>S0800002113</v>
      </c>
      <c r="B1028">
        <v>13</v>
      </c>
      <c r="C1028">
        <v>1590</v>
      </c>
      <c r="D1028">
        <v>1655.3026584321401</v>
      </c>
      <c r="E1028">
        <v>72030</v>
      </c>
      <c r="F1028">
        <v>0.96054941487619305</v>
      </c>
      <c r="G1028">
        <v>2.20741357767597</v>
      </c>
      <c r="H1028" t="s">
        <v>126</v>
      </c>
      <c r="I1028" t="s">
        <v>14</v>
      </c>
      <c r="J1028" t="s">
        <v>15</v>
      </c>
      <c r="K1028">
        <v>1</v>
      </c>
      <c r="L1028">
        <v>0.97128987494987695</v>
      </c>
    </row>
    <row r="1029" spans="1:12">
      <c r="A1029" t="str">
        <f t="shared" si="16"/>
        <v>S0800002213</v>
      </c>
      <c r="B1029">
        <v>13</v>
      </c>
      <c r="C1029">
        <v>296</v>
      </c>
      <c r="D1029">
        <v>336.17325482140097</v>
      </c>
      <c r="E1029">
        <v>10687</v>
      </c>
      <c r="F1029">
        <v>0.88049836135018</v>
      </c>
      <c r="G1029">
        <v>2.7697202208290399</v>
      </c>
      <c r="H1029" t="s">
        <v>126</v>
      </c>
      <c r="I1029" t="s">
        <v>16</v>
      </c>
      <c r="J1029" t="s">
        <v>17</v>
      </c>
      <c r="K1029">
        <v>1</v>
      </c>
      <c r="L1029">
        <v>0.96271641610318304</v>
      </c>
    </row>
    <row r="1030" spans="1:12">
      <c r="A1030" t="str">
        <f t="shared" si="16"/>
        <v>S0800002313</v>
      </c>
      <c r="B1030">
        <v>13</v>
      </c>
      <c r="C1030">
        <v>699</v>
      </c>
      <c r="D1030">
        <v>757.15484953070904</v>
      </c>
      <c r="E1030">
        <v>24894</v>
      </c>
      <c r="F1030">
        <v>0.92319292471447001</v>
      </c>
      <c r="G1030">
        <v>2.80790551940227</v>
      </c>
      <c r="H1030" t="s">
        <v>126</v>
      </c>
      <c r="I1030" t="s">
        <v>18</v>
      </c>
      <c r="J1030" t="s">
        <v>19</v>
      </c>
      <c r="K1030">
        <v>1</v>
      </c>
      <c r="L1030">
        <v>0.99217819572586097</v>
      </c>
    </row>
    <row r="1031" spans="1:12">
      <c r="A1031" t="str">
        <f t="shared" si="16"/>
        <v>S0800002413</v>
      </c>
      <c r="B1031">
        <v>13</v>
      </c>
      <c r="C1031">
        <v>918</v>
      </c>
      <c r="D1031">
        <v>1042.74791356839</v>
      </c>
      <c r="E1031">
        <v>31129</v>
      </c>
      <c r="F1031">
        <v>0.88036618252105503</v>
      </c>
      <c r="G1031">
        <v>2.94901860001927</v>
      </c>
      <c r="H1031" t="s">
        <v>126</v>
      </c>
      <c r="I1031" t="s">
        <v>20</v>
      </c>
      <c r="J1031" t="s">
        <v>21</v>
      </c>
      <c r="K1031">
        <v>1</v>
      </c>
      <c r="L1031">
        <v>0.89680928524535697</v>
      </c>
    </row>
    <row r="1032" spans="1:12">
      <c r="A1032" t="str">
        <f t="shared" si="16"/>
        <v>S0800002513</v>
      </c>
      <c r="B1032">
        <v>13</v>
      </c>
      <c r="C1032">
        <v>28</v>
      </c>
      <c r="D1032">
        <v>25.3565183872788</v>
      </c>
      <c r="E1032">
        <v>881</v>
      </c>
      <c r="F1032">
        <v>1.1042525465186701</v>
      </c>
      <c r="G1032">
        <v>3.1782065834279201</v>
      </c>
      <c r="H1032" t="s">
        <v>126</v>
      </c>
      <c r="I1032" t="s">
        <v>22</v>
      </c>
      <c r="J1032" t="s">
        <v>23</v>
      </c>
      <c r="K1032">
        <v>1</v>
      </c>
      <c r="L1032">
        <v>1.2108516756601599</v>
      </c>
    </row>
    <row r="1033" spans="1:12">
      <c r="A1033" t="str">
        <f t="shared" si="16"/>
        <v>S0800002613</v>
      </c>
      <c r="B1033">
        <v>13</v>
      </c>
      <c r="C1033">
        <v>19</v>
      </c>
      <c r="D1033">
        <v>21.697104555747501</v>
      </c>
      <c r="E1033">
        <v>944</v>
      </c>
      <c r="F1033">
        <v>0.87569288110228405</v>
      </c>
      <c r="G1033">
        <v>2.0127118644067798</v>
      </c>
      <c r="H1033" t="s">
        <v>126</v>
      </c>
      <c r="I1033" t="s">
        <v>24</v>
      </c>
      <c r="J1033" t="s">
        <v>25</v>
      </c>
      <c r="K1033">
        <v>1</v>
      </c>
      <c r="L1033">
        <v>1.02356030754137</v>
      </c>
    </row>
    <row r="1034" spans="1:12">
      <c r="A1034" t="str">
        <f t="shared" si="16"/>
        <v>S0800002713</v>
      </c>
      <c r="B1034">
        <v>13</v>
      </c>
      <c r="C1034">
        <v>558</v>
      </c>
      <c r="D1034">
        <v>597.55446402064797</v>
      </c>
      <c r="E1034">
        <v>17046</v>
      </c>
      <c r="F1034">
        <v>0.93380609400102998</v>
      </c>
      <c r="G1034">
        <v>3.2734952481520598</v>
      </c>
      <c r="H1034" t="s">
        <v>126</v>
      </c>
      <c r="I1034" t="s">
        <v>128</v>
      </c>
      <c r="J1034" t="s">
        <v>27</v>
      </c>
      <c r="K1034">
        <v>1</v>
      </c>
      <c r="L1034">
        <v>0.94193411026200802</v>
      </c>
    </row>
    <row r="1035" spans="1:12">
      <c r="A1035" t="str">
        <f t="shared" si="16"/>
        <v>S0800002813</v>
      </c>
      <c r="B1035">
        <v>13</v>
      </c>
      <c r="C1035">
        <v>24</v>
      </c>
      <c r="D1035">
        <v>29.949855674251999</v>
      </c>
      <c r="E1035">
        <v>1143</v>
      </c>
      <c r="F1035">
        <v>0.80133942083176202</v>
      </c>
      <c r="G1035">
        <v>2.0997375328083998</v>
      </c>
      <c r="H1035" t="s">
        <v>126</v>
      </c>
      <c r="I1035" t="s">
        <v>28</v>
      </c>
      <c r="J1035" t="s">
        <v>29</v>
      </c>
      <c r="K1035">
        <v>1</v>
      </c>
      <c r="L1035">
        <v>1.2284949095989699</v>
      </c>
    </row>
    <row r="1036" spans="1:12">
      <c r="A1036" t="str">
        <f t="shared" si="16"/>
        <v>S0810000113</v>
      </c>
      <c r="B1036">
        <v>13</v>
      </c>
      <c r="C1036">
        <v>22</v>
      </c>
      <c r="D1036">
        <v>31.229999799182501</v>
      </c>
      <c r="E1036">
        <v>4140</v>
      </c>
      <c r="F1036">
        <v>0.70445085307288002</v>
      </c>
      <c r="G1036">
        <v>0.53140096618357502</v>
      </c>
      <c r="H1036" t="s">
        <v>126</v>
      </c>
      <c r="I1036" t="s">
        <v>30</v>
      </c>
      <c r="J1036" t="s">
        <v>129</v>
      </c>
      <c r="K1036">
        <v>1</v>
      </c>
      <c r="L1036">
        <v>0.824626773929239</v>
      </c>
    </row>
    <row r="1037" spans="1:12">
      <c r="A1037" t="str">
        <f t="shared" si="16"/>
        <v>S0800001514</v>
      </c>
      <c r="B1037">
        <v>14</v>
      </c>
      <c r="C1037">
        <v>461</v>
      </c>
      <c r="D1037">
        <v>533.58059579277904</v>
      </c>
      <c r="E1037">
        <v>17016</v>
      </c>
      <c r="F1037">
        <v>0.86397444666266299</v>
      </c>
      <c r="G1037">
        <v>2.7092148566055498</v>
      </c>
      <c r="H1037" t="s">
        <v>126</v>
      </c>
      <c r="I1037" t="s">
        <v>2</v>
      </c>
      <c r="J1037" t="s">
        <v>3</v>
      </c>
      <c r="K1037">
        <v>2</v>
      </c>
      <c r="L1037">
        <v>0.92282261557452605</v>
      </c>
    </row>
    <row r="1038" spans="1:12">
      <c r="A1038" t="str">
        <f t="shared" si="16"/>
        <v>S0800001614</v>
      </c>
      <c r="B1038">
        <v>14</v>
      </c>
      <c r="C1038">
        <v>134</v>
      </c>
      <c r="D1038">
        <v>145.07098898894199</v>
      </c>
      <c r="E1038">
        <v>4356</v>
      </c>
      <c r="F1038">
        <v>0.923685713690239</v>
      </c>
      <c r="G1038">
        <v>3.0762167125803499</v>
      </c>
      <c r="H1038" t="s">
        <v>126</v>
      </c>
      <c r="I1038" t="s">
        <v>4</v>
      </c>
      <c r="J1038" t="s">
        <v>5</v>
      </c>
      <c r="K1038">
        <v>2</v>
      </c>
      <c r="L1038">
        <v>0.94011372324039499</v>
      </c>
    </row>
    <row r="1039" spans="1:12">
      <c r="A1039" t="str">
        <f t="shared" si="16"/>
        <v>S0800001714</v>
      </c>
      <c r="B1039">
        <v>14</v>
      </c>
      <c r="C1039">
        <v>222</v>
      </c>
      <c r="D1039">
        <v>202.47171299727401</v>
      </c>
      <c r="E1039">
        <v>6945</v>
      </c>
      <c r="F1039">
        <v>1.0964494581175801</v>
      </c>
      <c r="G1039">
        <v>3.19654427645788</v>
      </c>
      <c r="H1039" t="s">
        <v>126</v>
      </c>
      <c r="I1039" t="s">
        <v>6</v>
      </c>
      <c r="J1039" t="s">
        <v>7</v>
      </c>
      <c r="K1039">
        <v>2</v>
      </c>
      <c r="L1039">
        <v>1.06143015827989</v>
      </c>
    </row>
    <row r="1040" spans="1:12">
      <c r="A1040" t="str">
        <f t="shared" si="16"/>
        <v>S0800001814</v>
      </c>
      <c r="B1040">
        <v>14</v>
      </c>
      <c r="C1040">
        <v>334</v>
      </c>
      <c r="D1040">
        <v>405.35154482301999</v>
      </c>
      <c r="E1040">
        <v>10689</v>
      </c>
      <c r="F1040">
        <v>0.82397613692536398</v>
      </c>
      <c r="G1040">
        <v>3.12470764337169</v>
      </c>
      <c r="H1040" t="s">
        <v>126</v>
      </c>
      <c r="I1040" t="s">
        <v>127</v>
      </c>
      <c r="J1040" t="s">
        <v>9</v>
      </c>
      <c r="K1040">
        <v>2</v>
      </c>
      <c r="L1040">
        <v>0.95480361764392097</v>
      </c>
    </row>
    <row r="1041" spans="1:12">
      <c r="A1041" t="str">
        <f t="shared" si="16"/>
        <v>S0800001914</v>
      </c>
      <c r="B1041">
        <v>14</v>
      </c>
      <c r="C1041">
        <v>267</v>
      </c>
      <c r="D1041">
        <v>280.62955082971803</v>
      </c>
      <c r="E1041">
        <v>8907</v>
      </c>
      <c r="F1041">
        <v>0.95143223231687402</v>
      </c>
      <c r="G1041">
        <v>2.9976423038059998</v>
      </c>
      <c r="H1041" t="s">
        <v>126</v>
      </c>
      <c r="I1041" t="s">
        <v>10</v>
      </c>
      <c r="J1041" t="s">
        <v>11</v>
      </c>
      <c r="K1041">
        <v>2</v>
      </c>
      <c r="L1041">
        <v>1.05526736049424</v>
      </c>
    </row>
    <row r="1042" spans="1:12">
      <c r="A1042" t="str">
        <f t="shared" si="16"/>
        <v>S0800002014</v>
      </c>
      <c r="B1042">
        <v>14</v>
      </c>
      <c r="C1042">
        <v>532</v>
      </c>
      <c r="D1042">
        <v>577.069406213055</v>
      </c>
      <c r="E1042">
        <v>21579</v>
      </c>
      <c r="F1042">
        <v>0.92189950510664298</v>
      </c>
      <c r="G1042">
        <v>2.4653598405857502</v>
      </c>
      <c r="H1042" t="s">
        <v>126</v>
      </c>
      <c r="I1042" t="s">
        <v>12</v>
      </c>
      <c r="J1042" t="s">
        <v>13</v>
      </c>
      <c r="K1042">
        <v>2</v>
      </c>
      <c r="L1042">
        <v>0.98771005414482205</v>
      </c>
    </row>
    <row r="1043" spans="1:12">
      <c r="A1043" t="str">
        <f t="shared" si="16"/>
        <v>S0800002114</v>
      </c>
      <c r="B1043">
        <v>14</v>
      </c>
      <c r="C1043">
        <v>1466</v>
      </c>
      <c r="D1043">
        <v>1659.4855802535701</v>
      </c>
      <c r="E1043">
        <v>71025</v>
      </c>
      <c r="F1043">
        <v>0.88340629014444205</v>
      </c>
      <c r="G1043">
        <v>2.0640619500175998</v>
      </c>
      <c r="H1043" t="s">
        <v>126</v>
      </c>
      <c r="I1043" t="s">
        <v>14</v>
      </c>
      <c r="J1043" t="s">
        <v>15</v>
      </c>
      <c r="K1043">
        <v>2</v>
      </c>
      <c r="L1043">
        <v>0.96447672645933902</v>
      </c>
    </row>
    <row r="1044" spans="1:12">
      <c r="A1044" t="str">
        <f t="shared" si="16"/>
        <v>S0800002214</v>
      </c>
      <c r="B1044">
        <v>14</v>
      </c>
      <c r="C1044">
        <v>276</v>
      </c>
      <c r="D1044">
        <v>309.02529295995498</v>
      </c>
      <c r="E1044">
        <v>10833</v>
      </c>
      <c r="F1044">
        <v>0.89313077695476994</v>
      </c>
      <c r="G1044">
        <v>2.5477707006369399</v>
      </c>
      <c r="H1044" t="s">
        <v>126</v>
      </c>
      <c r="I1044" t="s">
        <v>16</v>
      </c>
      <c r="J1044" t="s">
        <v>17</v>
      </c>
      <c r="K1044">
        <v>2</v>
      </c>
      <c r="L1044">
        <v>0.96227139533149597</v>
      </c>
    </row>
    <row r="1045" spans="1:12">
      <c r="A1045" t="str">
        <f t="shared" si="16"/>
        <v>S0800002314</v>
      </c>
      <c r="B1045">
        <v>14</v>
      </c>
      <c r="C1045">
        <v>616</v>
      </c>
      <c r="D1045">
        <v>731.80053285277995</v>
      </c>
      <c r="E1045">
        <v>24646</v>
      </c>
      <c r="F1045">
        <v>0.84175943080916604</v>
      </c>
      <c r="G1045">
        <v>2.4993913819686799</v>
      </c>
      <c r="H1045" t="s">
        <v>126</v>
      </c>
      <c r="I1045" t="s">
        <v>18</v>
      </c>
      <c r="J1045" t="s">
        <v>19</v>
      </c>
      <c r="K1045">
        <v>2</v>
      </c>
      <c r="L1045">
        <v>0.978285711294958</v>
      </c>
    </row>
    <row r="1046" spans="1:12">
      <c r="A1046" t="str">
        <f t="shared" si="16"/>
        <v>S0800002414</v>
      </c>
      <c r="B1046">
        <v>14</v>
      </c>
      <c r="C1046">
        <v>818</v>
      </c>
      <c r="D1046">
        <v>1009.63154817258</v>
      </c>
      <c r="E1046">
        <v>30838</v>
      </c>
      <c r="F1046">
        <v>0.81019655287175396</v>
      </c>
      <c r="G1046">
        <v>2.65257150269148</v>
      </c>
      <c r="H1046" t="s">
        <v>126</v>
      </c>
      <c r="I1046" t="s">
        <v>20</v>
      </c>
      <c r="J1046" t="s">
        <v>21</v>
      </c>
      <c r="K1046">
        <v>2</v>
      </c>
      <c r="L1046">
        <v>0.89262024218287594</v>
      </c>
    </row>
    <row r="1047" spans="1:12">
      <c r="A1047" t="str">
        <f t="shared" si="16"/>
        <v>S0800002514</v>
      </c>
      <c r="B1047">
        <v>14</v>
      </c>
      <c r="C1047">
        <v>30</v>
      </c>
      <c r="D1047">
        <v>24.5935051061827</v>
      </c>
      <c r="E1047">
        <v>814</v>
      </c>
      <c r="F1047">
        <v>1.2198342558522901</v>
      </c>
      <c r="G1047">
        <v>3.68550368550369</v>
      </c>
      <c r="H1047" t="s">
        <v>126</v>
      </c>
      <c r="I1047" t="s">
        <v>22</v>
      </c>
      <c r="J1047" t="s">
        <v>23</v>
      </c>
      <c r="K1047">
        <v>2</v>
      </c>
      <c r="L1047">
        <v>1.1892520516601801</v>
      </c>
    </row>
    <row r="1048" spans="1:12">
      <c r="A1048" t="str">
        <f t="shared" si="16"/>
        <v>S0800002614</v>
      </c>
      <c r="B1048">
        <v>14</v>
      </c>
      <c r="C1048">
        <v>24</v>
      </c>
      <c r="D1048">
        <v>22.256223739792201</v>
      </c>
      <c r="E1048">
        <v>924</v>
      </c>
      <c r="F1048">
        <v>1.0783500507810799</v>
      </c>
      <c r="G1048">
        <v>2.5974025974026</v>
      </c>
      <c r="H1048" t="s">
        <v>126</v>
      </c>
      <c r="I1048" t="s">
        <v>24</v>
      </c>
      <c r="J1048" t="s">
        <v>25</v>
      </c>
      <c r="K1048">
        <v>2</v>
      </c>
      <c r="L1048">
        <v>1.0238732334270499</v>
      </c>
    </row>
    <row r="1049" spans="1:12">
      <c r="A1049" t="str">
        <f t="shared" si="16"/>
        <v>S0800002714</v>
      </c>
      <c r="B1049">
        <v>14</v>
      </c>
      <c r="C1049">
        <v>512</v>
      </c>
      <c r="D1049">
        <v>602.30937730522703</v>
      </c>
      <c r="E1049">
        <v>16459</v>
      </c>
      <c r="F1049">
        <v>0.85006147885447603</v>
      </c>
      <c r="G1049">
        <v>3.1107600704781602</v>
      </c>
      <c r="H1049" t="s">
        <v>126</v>
      </c>
      <c r="I1049" t="s">
        <v>128</v>
      </c>
      <c r="J1049" t="s">
        <v>27</v>
      </c>
      <c r="K1049">
        <v>2</v>
      </c>
      <c r="L1049">
        <v>0.938372890518962</v>
      </c>
    </row>
    <row r="1050" spans="1:12">
      <c r="A1050" t="str">
        <f t="shared" si="16"/>
        <v>S0800002814</v>
      </c>
      <c r="B1050">
        <v>14</v>
      </c>
      <c r="C1050">
        <v>31</v>
      </c>
      <c r="D1050">
        <v>26.319054879795601</v>
      </c>
      <c r="E1050">
        <v>1088</v>
      </c>
      <c r="F1050">
        <v>1.17785384549648</v>
      </c>
      <c r="G1050">
        <v>2.8492647058823501</v>
      </c>
      <c r="H1050" t="s">
        <v>126</v>
      </c>
      <c r="I1050" t="s">
        <v>28</v>
      </c>
      <c r="J1050" t="s">
        <v>29</v>
      </c>
      <c r="K1050">
        <v>2</v>
      </c>
      <c r="L1050">
        <v>1.20837828059564</v>
      </c>
    </row>
    <row r="1051" spans="1:12">
      <c r="A1051" t="str">
        <f t="shared" si="16"/>
        <v>S0810000114</v>
      </c>
      <c r="B1051">
        <v>14</v>
      </c>
      <c r="C1051">
        <v>18</v>
      </c>
      <c r="D1051">
        <v>31.3669298215437</v>
      </c>
      <c r="E1051">
        <v>4026</v>
      </c>
      <c r="F1051">
        <v>0.57385278388441596</v>
      </c>
      <c r="G1051">
        <v>0.447093889716841</v>
      </c>
      <c r="H1051" t="s">
        <v>126</v>
      </c>
      <c r="I1051" t="s">
        <v>30</v>
      </c>
      <c r="J1051" t="s">
        <v>129</v>
      </c>
      <c r="K1051">
        <v>2</v>
      </c>
      <c r="L1051">
        <v>0.83440682652099696</v>
      </c>
    </row>
    <row r="1052" spans="1:12">
      <c r="A1052" t="str">
        <f t="shared" si="16"/>
        <v>S0800001515</v>
      </c>
      <c r="B1052">
        <v>15</v>
      </c>
      <c r="C1052">
        <v>480</v>
      </c>
      <c r="D1052">
        <v>542.58138453983202</v>
      </c>
      <c r="E1052">
        <v>16784</v>
      </c>
      <c r="F1052">
        <v>0.88465991218458795</v>
      </c>
      <c r="G1052">
        <v>2.85986653956149</v>
      </c>
      <c r="H1052" t="s">
        <v>126</v>
      </c>
      <c r="I1052" t="s">
        <v>2</v>
      </c>
      <c r="J1052" t="s">
        <v>3</v>
      </c>
      <c r="K1052">
        <v>3</v>
      </c>
      <c r="L1052">
        <v>0.91407785112829298</v>
      </c>
    </row>
    <row r="1053" spans="1:12">
      <c r="A1053" t="str">
        <f t="shared" si="16"/>
        <v>S0800001615</v>
      </c>
      <c r="B1053">
        <v>15</v>
      </c>
      <c r="C1053">
        <v>164</v>
      </c>
      <c r="D1053">
        <v>152.20144699710499</v>
      </c>
      <c r="E1053">
        <v>4242</v>
      </c>
      <c r="F1053">
        <v>1.0775193221593899</v>
      </c>
      <c r="G1053">
        <v>3.8661008958038701</v>
      </c>
      <c r="H1053" t="s">
        <v>126</v>
      </c>
      <c r="I1053" t="s">
        <v>4</v>
      </c>
      <c r="J1053" t="s">
        <v>5</v>
      </c>
      <c r="K1053">
        <v>3</v>
      </c>
      <c r="L1053">
        <v>0.93981126435441398</v>
      </c>
    </row>
    <row r="1054" spans="1:12">
      <c r="A1054" t="str">
        <f t="shared" si="16"/>
        <v>S0800001715</v>
      </c>
      <c r="B1054">
        <v>15</v>
      </c>
      <c r="C1054">
        <v>199</v>
      </c>
      <c r="D1054">
        <v>209.044837461757</v>
      </c>
      <c r="E1054">
        <v>6978</v>
      </c>
      <c r="F1054">
        <v>0.95194888530268296</v>
      </c>
      <c r="G1054">
        <v>2.8518200057323</v>
      </c>
      <c r="H1054" t="s">
        <v>126</v>
      </c>
      <c r="I1054" t="s">
        <v>6</v>
      </c>
      <c r="J1054" t="s">
        <v>7</v>
      </c>
      <c r="K1054">
        <v>3</v>
      </c>
      <c r="L1054">
        <v>1.05001860929354</v>
      </c>
    </row>
    <row r="1055" spans="1:12">
      <c r="A1055" t="str">
        <f t="shared" si="16"/>
        <v>S0800001815</v>
      </c>
      <c r="B1055">
        <v>15</v>
      </c>
      <c r="C1055">
        <v>360</v>
      </c>
      <c r="D1055">
        <v>437.01358959783698</v>
      </c>
      <c r="E1055">
        <v>10687</v>
      </c>
      <c r="F1055">
        <v>0.82377300973933398</v>
      </c>
      <c r="G1055">
        <v>3.3685786469542398</v>
      </c>
      <c r="H1055" t="s">
        <v>126</v>
      </c>
      <c r="I1055" t="s">
        <v>127</v>
      </c>
      <c r="J1055" t="s">
        <v>9</v>
      </c>
      <c r="K1055">
        <v>3</v>
      </c>
      <c r="L1055">
        <v>0.95151068689654705</v>
      </c>
    </row>
    <row r="1056" spans="1:12">
      <c r="A1056" t="str">
        <f t="shared" si="16"/>
        <v>S0800001915</v>
      </c>
      <c r="B1056">
        <v>15</v>
      </c>
      <c r="C1056">
        <v>286</v>
      </c>
      <c r="D1056">
        <v>281.73560324280601</v>
      </c>
      <c r="E1056">
        <v>8841</v>
      </c>
      <c r="F1056">
        <v>1.01513616563938</v>
      </c>
      <c r="G1056">
        <v>3.23492817554575</v>
      </c>
      <c r="H1056" t="s">
        <v>126</v>
      </c>
      <c r="I1056" t="s">
        <v>10</v>
      </c>
      <c r="J1056" t="s">
        <v>11</v>
      </c>
      <c r="K1056">
        <v>3</v>
      </c>
      <c r="L1056">
        <v>1.04681255404137</v>
      </c>
    </row>
    <row r="1057" spans="1:12">
      <c r="A1057" t="str">
        <f t="shared" si="16"/>
        <v>S0800002015</v>
      </c>
      <c r="B1057">
        <v>15</v>
      </c>
      <c r="C1057">
        <v>600</v>
      </c>
      <c r="D1057">
        <v>590.84750926656795</v>
      </c>
      <c r="E1057">
        <v>21815</v>
      </c>
      <c r="F1057">
        <v>1.0154904448100199</v>
      </c>
      <c r="G1057">
        <v>2.75040110016044</v>
      </c>
      <c r="H1057" t="s">
        <v>126</v>
      </c>
      <c r="I1057" t="s">
        <v>12</v>
      </c>
      <c r="J1057" t="s">
        <v>13</v>
      </c>
      <c r="K1057">
        <v>3</v>
      </c>
      <c r="L1057">
        <v>0.98657484479026103</v>
      </c>
    </row>
    <row r="1058" spans="1:12">
      <c r="A1058" t="str">
        <f t="shared" si="16"/>
        <v>S0800002115</v>
      </c>
      <c r="B1058">
        <v>15</v>
      </c>
      <c r="C1058">
        <v>1441</v>
      </c>
      <c r="D1058">
        <v>1606.73406566722</v>
      </c>
      <c r="E1058">
        <v>69723</v>
      </c>
      <c r="F1058">
        <v>0.89685034430486099</v>
      </c>
      <c r="G1058">
        <v>2.0667498529896902</v>
      </c>
      <c r="H1058" t="s">
        <v>126</v>
      </c>
      <c r="I1058" t="s">
        <v>14</v>
      </c>
      <c r="J1058" t="s">
        <v>15</v>
      </c>
      <c r="K1058">
        <v>3</v>
      </c>
      <c r="L1058">
        <v>0.95766357796880097</v>
      </c>
    </row>
    <row r="1059" spans="1:12">
      <c r="A1059" t="str">
        <f t="shared" si="16"/>
        <v>S0800002215</v>
      </c>
      <c r="B1059">
        <v>15</v>
      </c>
      <c r="C1059">
        <v>344</v>
      </c>
      <c r="D1059">
        <v>329.00228631785598</v>
      </c>
      <c r="E1059">
        <v>10359</v>
      </c>
      <c r="F1059">
        <v>1.0455854390861401</v>
      </c>
      <c r="G1059">
        <v>3.3207838594458901</v>
      </c>
      <c r="H1059" t="s">
        <v>126</v>
      </c>
      <c r="I1059" t="s">
        <v>16</v>
      </c>
      <c r="J1059" t="s">
        <v>17</v>
      </c>
      <c r="K1059">
        <v>3</v>
      </c>
      <c r="L1059">
        <v>0.96182637455981002</v>
      </c>
    </row>
    <row r="1060" spans="1:12">
      <c r="A1060" t="str">
        <f t="shared" si="16"/>
        <v>S0800002315</v>
      </c>
      <c r="B1060">
        <v>15</v>
      </c>
      <c r="C1060">
        <v>672</v>
      </c>
      <c r="D1060">
        <v>755.46852437717303</v>
      </c>
      <c r="E1060">
        <v>24464</v>
      </c>
      <c r="F1060">
        <v>0.88951422635908495</v>
      </c>
      <c r="G1060">
        <v>2.7468933943754101</v>
      </c>
      <c r="H1060" t="s">
        <v>126</v>
      </c>
      <c r="I1060" t="s">
        <v>18</v>
      </c>
      <c r="J1060" t="s">
        <v>19</v>
      </c>
      <c r="K1060">
        <v>3</v>
      </c>
      <c r="L1060">
        <v>0.96439322686405504</v>
      </c>
    </row>
    <row r="1061" spans="1:12">
      <c r="A1061" t="str">
        <f t="shared" si="16"/>
        <v>S0800002415</v>
      </c>
      <c r="B1061">
        <v>15</v>
      </c>
      <c r="C1061">
        <v>821</v>
      </c>
      <c r="D1061">
        <v>978.04895955576296</v>
      </c>
      <c r="E1061">
        <v>30330</v>
      </c>
      <c r="F1061">
        <v>0.83942628022722299</v>
      </c>
      <c r="G1061">
        <v>2.7068908671282599</v>
      </c>
      <c r="H1061" t="s">
        <v>126</v>
      </c>
      <c r="I1061" t="s">
        <v>20</v>
      </c>
      <c r="J1061" t="s">
        <v>21</v>
      </c>
      <c r="K1061">
        <v>3</v>
      </c>
      <c r="L1061">
        <v>0.88843119912039403</v>
      </c>
    </row>
    <row r="1062" spans="1:12">
      <c r="A1062" t="str">
        <f t="shared" si="16"/>
        <v>S0800002515</v>
      </c>
      <c r="B1062">
        <v>15</v>
      </c>
      <c r="C1062">
        <v>19</v>
      </c>
      <c r="D1062">
        <v>18.622299433332099</v>
      </c>
      <c r="E1062">
        <v>792</v>
      </c>
      <c r="F1062">
        <v>1.02028216590653</v>
      </c>
      <c r="G1062">
        <v>2.3989898989899001</v>
      </c>
      <c r="H1062" t="s">
        <v>126</v>
      </c>
      <c r="I1062" t="s">
        <v>22</v>
      </c>
      <c r="J1062" t="s">
        <v>23</v>
      </c>
      <c r="K1062">
        <v>3</v>
      </c>
      <c r="L1062">
        <v>1.1676524276602001</v>
      </c>
    </row>
    <row r="1063" spans="1:12">
      <c r="A1063" t="str">
        <f t="shared" si="16"/>
        <v>S0800002615</v>
      </c>
      <c r="B1063">
        <v>15</v>
      </c>
      <c r="C1063">
        <v>18</v>
      </c>
      <c r="D1063">
        <v>19.909945404048301</v>
      </c>
      <c r="E1063">
        <v>889</v>
      </c>
      <c r="F1063">
        <v>0.90407078646936301</v>
      </c>
      <c r="G1063">
        <v>2.0247469066366701</v>
      </c>
      <c r="H1063" t="s">
        <v>126</v>
      </c>
      <c r="I1063" t="s">
        <v>24</v>
      </c>
      <c r="J1063" t="s">
        <v>25</v>
      </c>
      <c r="K1063">
        <v>3</v>
      </c>
      <c r="L1063">
        <v>1.0241861593127299</v>
      </c>
    </row>
    <row r="1064" spans="1:12">
      <c r="A1064" t="str">
        <f t="shared" si="16"/>
        <v>S0800002715</v>
      </c>
      <c r="B1064">
        <v>15</v>
      </c>
      <c r="C1064">
        <v>529</v>
      </c>
      <c r="D1064">
        <v>587.06611663636295</v>
      </c>
      <c r="E1064">
        <v>16174</v>
      </c>
      <c r="F1064">
        <v>0.90109101003979397</v>
      </c>
      <c r="G1064">
        <v>3.2706813404228998</v>
      </c>
      <c r="H1064" t="s">
        <v>126</v>
      </c>
      <c r="I1064" t="s">
        <v>128</v>
      </c>
      <c r="J1064" t="s">
        <v>27</v>
      </c>
      <c r="K1064">
        <v>3</v>
      </c>
      <c r="L1064">
        <v>0.93481167077591498</v>
      </c>
    </row>
    <row r="1065" spans="1:12">
      <c r="A1065" t="str">
        <f t="shared" si="16"/>
        <v>S0800002815</v>
      </c>
      <c r="B1065">
        <v>15</v>
      </c>
      <c r="C1065">
        <v>38</v>
      </c>
      <c r="D1065">
        <v>30.395424342307201</v>
      </c>
      <c r="E1065">
        <v>1184</v>
      </c>
      <c r="F1065">
        <v>1.25018817214234</v>
      </c>
      <c r="G1065">
        <v>3.2094594594594601</v>
      </c>
      <c r="H1065" t="s">
        <v>126</v>
      </c>
      <c r="I1065" t="s">
        <v>28</v>
      </c>
      <c r="J1065" t="s">
        <v>29</v>
      </c>
      <c r="K1065">
        <v>3</v>
      </c>
      <c r="L1065">
        <v>1.1882616515923199</v>
      </c>
    </row>
    <row r="1066" spans="1:12">
      <c r="A1066" t="str">
        <f t="shared" si="16"/>
        <v>S0810000115</v>
      </c>
      <c r="B1066">
        <v>15</v>
      </c>
      <c r="C1066">
        <v>24</v>
      </c>
      <c r="D1066">
        <v>31.680333353384999</v>
      </c>
      <c r="E1066">
        <v>4197</v>
      </c>
      <c r="F1066">
        <v>0.75756778605473896</v>
      </c>
      <c r="G1066">
        <v>0.57183702644746204</v>
      </c>
      <c r="H1066" t="s">
        <v>126</v>
      </c>
      <c r="I1066" t="s">
        <v>30</v>
      </c>
      <c r="J1066" t="s">
        <v>129</v>
      </c>
      <c r="K1066">
        <v>3</v>
      </c>
      <c r="L1066">
        <v>0.84418687911275503</v>
      </c>
    </row>
    <row r="1067" spans="1:12">
      <c r="A1067" t="str">
        <f t="shared" si="16"/>
        <v>S0800001516</v>
      </c>
      <c r="B1067">
        <v>16</v>
      </c>
      <c r="C1067">
        <v>496</v>
      </c>
      <c r="D1067">
        <v>574.69594252571403</v>
      </c>
      <c r="E1067">
        <v>16901</v>
      </c>
      <c r="F1067">
        <v>0.86306508067578203</v>
      </c>
      <c r="G1067">
        <v>2.9347375894917498</v>
      </c>
      <c r="H1067" t="s">
        <v>126</v>
      </c>
      <c r="I1067" t="s">
        <v>2</v>
      </c>
      <c r="J1067" t="s">
        <v>3</v>
      </c>
      <c r="K1067">
        <v>4</v>
      </c>
      <c r="L1067">
        <v>0.90533308668206103</v>
      </c>
    </row>
    <row r="1068" spans="1:12">
      <c r="A1068" t="str">
        <f t="shared" si="16"/>
        <v>S0800001616</v>
      </c>
      <c r="B1068">
        <v>16</v>
      </c>
      <c r="C1068">
        <v>174</v>
      </c>
      <c r="D1068">
        <v>150.41048069590099</v>
      </c>
      <c r="E1068">
        <v>4419</v>
      </c>
      <c r="F1068">
        <v>1.1568342790672399</v>
      </c>
      <c r="G1068">
        <v>3.93754243041412</v>
      </c>
      <c r="H1068" t="s">
        <v>126</v>
      </c>
      <c r="I1068" t="s">
        <v>4</v>
      </c>
      <c r="J1068" t="s">
        <v>5</v>
      </c>
      <c r="K1068">
        <v>4</v>
      </c>
      <c r="L1068">
        <v>0.93950880546843296</v>
      </c>
    </row>
    <row r="1069" spans="1:12">
      <c r="A1069" t="str">
        <f t="shared" si="16"/>
        <v>S0800001716</v>
      </c>
      <c r="B1069">
        <v>16</v>
      </c>
      <c r="C1069">
        <v>261</v>
      </c>
      <c r="D1069">
        <v>230.56834156270401</v>
      </c>
      <c r="E1069">
        <v>7017</v>
      </c>
      <c r="F1069">
        <v>1.13198541582527</v>
      </c>
      <c r="G1069">
        <v>3.7195382642154802</v>
      </c>
      <c r="H1069" t="s">
        <v>126</v>
      </c>
      <c r="I1069" t="s">
        <v>6</v>
      </c>
      <c r="J1069" t="s">
        <v>7</v>
      </c>
      <c r="K1069">
        <v>4</v>
      </c>
      <c r="L1069">
        <v>1.0386070603072</v>
      </c>
    </row>
    <row r="1070" spans="1:12">
      <c r="A1070" t="str">
        <f t="shared" si="16"/>
        <v>S0800001816</v>
      </c>
      <c r="B1070">
        <v>16</v>
      </c>
      <c r="C1070">
        <v>421</v>
      </c>
      <c r="D1070">
        <v>489.435139360552</v>
      </c>
      <c r="E1070">
        <v>10718</v>
      </c>
      <c r="F1070">
        <v>0.86017526357024099</v>
      </c>
      <c r="G1070">
        <v>3.92797163649935</v>
      </c>
      <c r="H1070" t="s">
        <v>126</v>
      </c>
      <c r="I1070" t="s">
        <v>127</v>
      </c>
      <c r="J1070" t="s">
        <v>9</v>
      </c>
      <c r="K1070">
        <v>4</v>
      </c>
      <c r="L1070">
        <v>0.94821775614917303</v>
      </c>
    </row>
    <row r="1071" spans="1:12">
      <c r="A1071" t="str">
        <f t="shared" si="16"/>
        <v>S0800001916</v>
      </c>
      <c r="B1071">
        <v>16</v>
      </c>
      <c r="C1071">
        <v>323</v>
      </c>
      <c r="D1071">
        <v>289.75656551867098</v>
      </c>
      <c r="E1071">
        <v>8807</v>
      </c>
      <c r="F1071">
        <v>1.11472883943742</v>
      </c>
      <c r="G1071">
        <v>3.66753718632906</v>
      </c>
      <c r="H1071" t="s">
        <v>126</v>
      </c>
      <c r="I1071" t="s">
        <v>10</v>
      </c>
      <c r="J1071" t="s">
        <v>11</v>
      </c>
      <c r="K1071">
        <v>4</v>
      </c>
      <c r="L1071">
        <v>1.0383577475885</v>
      </c>
    </row>
    <row r="1072" spans="1:12">
      <c r="A1072" t="str">
        <f t="shared" si="16"/>
        <v>S0800002016</v>
      </c>
      <c r="B1072">
        <v>16</v>
      </c>
      <c r="C1072">
        <v>657</v>
      </c>
      <c r="D1072">
        <v>620.90615592734298</v>
      </c>
      <c r="E1072">
        <v>21880</v>
      </c>
      <c r="F1072">
        <v>1.05813091677075</v>
      </c>
      <c r="G1072">
        <v>3.0027422303473501</v>
      </c>
      <c r="H1072" t="s">
        <v>126</v>
      </c>
      <c r="I1072" t="s">
        <v>12</v>
      </c>
      <c r="J1072" t="s">
        <v>13</v>
      </c>
      <c r="K1072">
        <v>4</v>
      </c>
      <c r="L1072">
        <v>0.98543963543570001</v>
      </c>
    </row>
    <row r="1073" spans="1:12">
      <c r="A1073" t="str">
        <f t="shared" si="16"/>
        <v>S0800002116</v>
      </c>
      <c r="B1073">
        <v>16</v>
      </c>
      <c r="C1073">
        <v>1605</v>
      </c>
      <c r="D1073">
        <v>1683.8426606928499</v>
      </c>
      <c r="E1073">
        <v>71862</v>
      </c>
      <c r="F1073">
        <v>0.953176943111533</v>
      </c>
      <c r="G1073">
        <v>2.2334474409284502</v>
      </c>
      <c r="H1073" t="s">
        <v>126</v>
      </c>
      <c r="I1073" t="s">
        <v>14</v>
      </c>
      <c r="J1073" t="s">
        <v>15</v>
      </c>
      <c r="K1073">
        <v>4</v>
      </c>
      <c r="L1073">
        <v>0.95085042947826204</v>
      </c>
    </row>
    <row r="1074" spans="1:12">
      <c r="A1074" t="str">
        <f t="shared" si="16"/>
        <v>S0800002216</v>
      </c>
      <c r="B1074">
        <v>16</v>
      </c>
      <c r="C1074">
        <v>350</v>
      </c>
      <c r="D1074">
        <v>342.40723849160599</v>
      </c>
      <c r="E1074">
        <v>10091</v>
      </c>
      <c r="F1074">
        <v>1.0221746524455499</v>
      </c>
      <c r="G1074">
        <v>3.4684372212863002</v>
      </c>
      <c r="H1074" t="s">
        <v>126</v>
      </c>
      <c r="I1074" t="s">
        <v>16</v>
      </c>
      <c r="J1074" t="s">
        <v>17</v>
      </c>
      <c r="K1074">
        <v>4</v>
      </c>
      <c r="L1074">
        <v>0.96138135378812295</v>
      </c>
    </row>
    <row r="1075" spans="1:12">
      <c r="A1075" t="str">
        <f t="shared" si="16"/>
        <v>S0800002316</v>
      </c>
      <c r="B1075">
        <v>16</v>
      </c>
      <c r="C1075">
        <v>757</v>
      </c>
      <c r="D1075">
        <v>830.85674578586202</v>
      </c>
      <c r="E1075">
        <v>24571</v>
      </c>
      <c r="F1075">
        <v>0.91110772565732201</v>
      </c>
      <c r="G1075">
        <v>3.0808676895527198</v>
      </c>
      <c r="H1075" t="s">
        <v>126</v>
      </c>
      <c r="I1075" t="s">
        <v>18</v>
      </c>
      <c r="J1075" t="s">
        <v>19</v>
      </c>
      <c r="K1075">
        <v>4</v>
      </c>
      <c r="L1075">
        <v>0.95050074243315097</v>
      </c>
    </row>
    <row r="1076" spans="1:12">
      <c r="A1076" t="str">
        <f t="shared" si="16"/>
        <v>S0800002416</v>
      </c>
      <c r="B1076">
        <v>16</v>
      </c>
      <c r="C1076">
        <v>932</v>
      </c>
      <c r="D1076">
        <v>1024.88300448523</v>
      </c>
      <c r="E1076">
        <v>31825</v>
      </c>
      <c r="F1076">
        <v>0.90937209020079302</v>
      </c>
      <c r="G1076">
        <v>2.9285153181461099</v>
      </c>
      <c r="H1076" t="s">
        <v>126</v>
      </c>
      <c r="I1076" t="s">
        <v>20</v>
      </c>
      <c r="J1076" t="s">
        <v>21</v>
      </c>
      <c r="K1076">
        <v>4</v>
      </c>
      <c r="L1076">
        <v>0.88424215605791301</v>
      </c>
    </row>
    <row r="1077" spans="1:12">
      <c r="A1077" t="str">
        <f t="shared" si="16"/>
        <v>S0800002516</v>
      </c>
      <c r="B1077">
        <v>16</v>
      </c>
      <c r="C1077">
        <v>19</v>
      </c>
      <c r="D1077">
        <v>24.591307752987401</v>
      </c>
      <c r="E1077">
        <v>773</v>
      </c>
      <c r="F1077">
        <v>0.77263072752573903</v>
      </c>
      <c r="G1077">
        <v>2.4579560155239299</v>
      </c>
      <c r="H1077" t="s">
        <v>126</v>
      </c>
      <c r="I1077" t="s">
        <v>22</v>
      </c>
      <c r="J1077" t="s">
        <v>23</v>
      </c>
      <c r="K1077">
        <v>4</v>
      </c>
      <c r="L1077">
        <v>1.14605280366022</v>
      </c>
    </row>
    <row r="1078" spans="1:12">
      <c r="A1078" t="str">
        <f t="shared" si="16"/>
        <v>S0800002616</v>
      </c>
      <c r="B1078">
        <v>16</v>
      </c>
      <c r="C1078">
        <v>28</v>
      </c>
      <c r="D1078">
        <v>20.039075914319099</v>
      </c>
      <c r="E1078">
        <v>922</v>
      </c>
      <c r="F1078">
        <v>1.39727001982124</v>
      </c>
      <c r="G1078">
        <v>3.0368763557483698</v>
      </c>
      <c r="H1078" t="s">
        <v>126</v>
      </c>
      <c r="I1078" t="s">
        <v>24</v>
      </c>
      <c r="J1078" t="s">
        <v>25</v>
      </c>
      <c r="K1078">
        <v>4</v>
      </c>
      <c r="L1078">
        <v>1.0244990851984099</v>
      </c>
    </row>
    <row r="1079" spans="1:12">
      <c r="A1079" t="str">
        <f t="shared" si="16"/>
        <v>S0800002716</v>
      </c>
      <c r="B1079">
        <v>16</v>
      </c>
      <c r="C1079">
        <v>637</v>
      </c>
      <c r="D1079">
        <v>649.51480656839203</v>
      </c>
      <c r="E1079">
        <v>16624</v>
      </c>
      <c r="F1079">
        <v>0.98073206885842701</v>
      </c>
      <c r="G1079">
        <v>3.8318094321462901</v>
      </c>
      <c r="H1079" t="s">
        <v>126</v>
      </c>
      <c r="I1079" t="s">
        <v>128</v>
      </c>
      <c r="J1079" t="s">
        <v>27</v>
      </c>
      <c r="K1079">
        <v>4</v>
      </c>
      <c r="L1079">
        <v>0.93125045103286896</v>
      </c>
    </row>
    <row r="1080" spans="1:12">
      <c r="A1080" t="str">
        <f t="shared" si="16"/>
        <v>S0800002816</v>
      </c>
      <c r="B1080">
        <v>16</v>
      </c>
      <c r="C1080">
        <v>29</v>
      </c>
      <c r="D1080">
        <v>25.394638261310401</v>
      </c>
      <c r="E1080">
        <v>1142</v>
      </c>
      <c r="F1080">
        <v>1.1419733449868601</v>
      </c>
      <c r="G1080">
        <v>2.5394045534150602</v>
      </c>
      <c r="H1080" t="s">
        <v>126</v>
      </c>
      <c r="I1080" t="s">
        <v>28</v>
      </c>
      <c r="J1080" t="s">
        <v>29</v>
      </c>
      <c r="K1080">
        <v>4</v>
      </c>
      <c r="L1080">
        <v>1.16814502258899</v>
      </c>
    </row>
    <row r="1081" spans="1:12">
      <c r="A1081" t="str">
        <f t="shared" si="16"/>
        <v>S0810000116</v>
      </c>
      <c r="B1081">
        <v>16</v>
      </c>
      <c r="C1081">
        <v>26</v>
      </c>
      <c r="D1081">
        <v>31.166632592641299</v>
      </c>
      <c r="E1081">
        <v>4360</v>
      </c>
      <c r="F1081">
        <v>0.834225510976082</v>
      </c>
      <c r="G1081">
        <v>0.596330275229358</v>
      </c>
      <c r="H1081" t="s">
        <v>126</v>
      </c>
      <c r="I1081" t="s">
        <v>30</v>
      </c>
      <c r="J1081" t="s">
        <v>129</v>
      </c>
      <c r="K1081">
        <v>4</v>
      </c>
      <c r="L1081">
        <v>0.85396693170451199</v>
      </c>
    </row>
    <row r="1082" spans="1:12">
      <c r="A1082" t="str">
        <f t="shared" si="16"/>
        <v>S0800001517</v>
      </c>
      <c r="B1082">
        <v>17</v>
      </c>
      <c r="C1082">
        <v>551</v>
      </c>
      <c r="D1082">
        <v>618.56095176383894</v>
      </c>
      <c r="E1082">
        <v>16037</v>
      </c>
      <c r="F1082">
        <v>0.89077721189611503</v>
      </c>
      <c r="G1082">
        <v>3.43580470162749</v>
      </c>
      <c r="H1082" t="s">
        <v>126</v>
      </c>
      <c r="I1082" t="s">
        <v>2</v>
      </c>
      <c r="J1082" t="s">
        <v>3</v>
      </c>
      <c r="K1082">
        <v>5</v>
      </c>
      <c r="L1082">
        <v>0.89658832223582796</v>
      </c>
    </row>
    <row r="1083" spans="1:12">
      <c r="A1083" t="str">
        <f t="shared" si="16"/>
        <v>S0800001617</v>
      </c>
      <c r="B1083">
        <v>17</v>
      </c>
      <c r="C1083">
        <v>189</v>
      </c>
      <c r="D1083">
        <v>172.216891696695</v>
      </c>
      <c r="E1083">
        <v>4358</v>
      </c>
      <c r="F1083">
        <v>1.0974533225977801</v>
      </c>
      <c r="G1083">
        <v>4.3368517668655304</v>
      </c>
      <c r="H1083" t="s">
        <v>126</v>
      </c>
      <c r="I1083" t="s">
        <v>4</v>
      </c>
      <c r="J1083" t="s">
        <v>5</v>
      </c>
      <c r="K1083">
        <v>5</v>
      </c>
      <c r="L1083">
        <v>0.93920634658245294</v>
      </c>
    </row>
    <row r="1084" spans="1:12">
      <c r="A1084" t="str">
        <f t="shared" si="16"/>
        <v>S0800001717</v>
      </c>
      <c r="B1084">
        <v>17</v>
      </c>
      <c r="C1084">
        <v>264</v>
      </c>
      <c r="D1084">
        <v>231.492327199165</v>
      </c>
      <c r="E1084">
        <v>7249</v>
      </c>
      <c r="F1084">
        <v>1.14042656702339</v>
      </c>
      <c r="G1084">
        <v>3.6418816388467401</v>
      </c>
      <c r="H1084" t="s">
        <v>126</v>
      </c>
      <c r="I1084" t="s">
        <v>6</v>
      </c>
      <c r="J1084" t="s">
        <v>7</v>
      </c>
      <c r="K1084">
        <v>5</v>
      </c>
      <c r="L1084">
        <v>1.02719551132086</v>
      </c>
    </row>
    <row r="1085" spans="1:12">
      <c r="A1085" t="str">
        <f t="shared" si="16"/>
        <v>S0800001817</v>
      </c>
      <c r="B1085">
        <v>17</v>
      </c>
      <c r="C1085">
        <v>445</v>
      </c>
      <c r="D1085">
        <v>484.80303315483002</v>
      </c>
      <c r="E1085">
        <v>10834</v>
      </c>
      <c r="F1085">
        <v>0.91789854758990796</v>
      </c>
      <c r="G1085">
        <v>4.1074395421820196</v>
      </c>
      <c r="H1085" t="s">
        <v>126</v>
      </c>
      <c r="I1085" t="s">
        <v>127</v>
      </c>
      <c r="J1085" t="s">
        <v>9</v>
      </c>
      <c r="K1085">
        <v>5</v>
      </c>
      <c r="L1085">
        <v>0.94492482540179801</v>
      </c>
    </row>
    <row r="1086" spans="1:12">
      <c r="A1086" t="str">
        <f t="shared" si="16"/>
        <v>S0800001917</v>
      </c>
      <c r="B1086">
        <v>17</v>
      </c>
      <c r="C1086">
        <v>343</v>
      </c>
      <c r="D1086">
        <v>310.842422182897</v>
      </c>
      <c r="E1086">
        <v>8901</v>
      </c>
      <c r="F1086">
        <v>1.103452989432</v>
      </c>
      <c r="G1086">
        <v>3.8534996067857499</v>
      </c>
      <c r="H1086" t="s">
        <v>126</v>
      </c>
      <c r="I1086" t="s">
        <v>10</v>
      </c>
      <c r="J1086" t="s">
        <v>11</v>
      </c>
      <c r="K1086">
        <v>5</v>
      </c>
      <c r="L1086">
        <v>1.02990294113562</v>
      </c>
    </row>
    <row r="1087" spans="1:12">
      <c r="A1087" t="str">
        <f t="shared" si="16"/>
        <v>S0800002017</v>
      </c>
      <c r="B1087">
        <v>17</v>
      </c>
      <c r="C1087">
        <v>706</v>
      </c>
      <c r="D1087">
        <v>656.03976591768003</v>
      </c>
      <c r="E1087">
        <v>22919</v>
      </c>
      <c r="F1087">
        <v>1.07615427703904</v>
      </c>
      <c r="G1087">
        <v>3.0804136306121599</v>
      </c>
      <c r="H1087" t="s">
        <v>126</v>
      </c>
      <c r="I1087" t="s">
        <v>12</v>
      </c>
      <c r="J1087" t="s">
        <v>13</v>
      </c>
      <c r="K1087">
        <v>5</v>
      </c>
      <c r="L1087">
        <v>0.984304426081138</v>
      </c>
    </row>
    <row r="1088" spans="1:12">
      <c r="A1088" t="str">
        <f t="shared" ref="A1088:A1151" si="17">CONCATENATE(I1088, B1088)</f>
        <v>S0800002117</v>
      </c>
      <c r="B1088">
        <v>17</v>
      </c>
      <c r="C1088">
        <v>1816</v>
      </c>
      <c r="D1088">
        <v>1774.1442043577599</v>
      </c>
      <c r="E1088">
        <v>71803</v>
      </c>
      <c r="F1088">
        <v>1.02359210459862</v>
      </c>
      <c r="G1088">
        <v>2.5291422363968099</v>
      </c>
      <c r="H1088" t="s">
        <v>126</v>
      </c>
      <c r="I1088" t="s">
        <v>14</v>
      </c>
      <c r="J1088" t="s">
        <v>15</v>
      </c>
      <c r="K1088">
        <v>5</v>
      </c>
      <c r="L1088">
        <v>0.94403728098772399</v>
      </c>
    </row>
    <row r="1089" spans="1:12">
      <c r="A1089" t="str">
        <f t="shared" si="17"/>
        <v>S0800002217</v>
      </c>
      <c r="B1089">
        <v>17</v>
      </c>
      <c r="C1089">
        <v>341</v>
      </c>
      <c r="D1089">
        <v>349.91821535207498</v>
      </c>
      <c r="E1089">
        <v>10707</v>
      </c>
      <c r="F1089">
        <v>0.97451342925059903</v>
      </c>
      <c r="G1089">
        <v>3.1848323526664801</v>
      </c>
      <c r="H1089" t="s">
        <v>126</v>
      </c>
      <c r="I1089" t="s">
        <v>16</v>
      </c>
      <c r="J1089" t="s">
        <v>17</v>
      </c>
      <c r="K1089">
        <v>5</v>
      </c>
      <c r="L1089">
        <v>0.960936333016436</v>
      </c>
    </row>
    <row r="1090" spans="1:12">
      <c r="A1090" t="str">
        <f t="shared" si="17"/>
        <v>S0800002317</v>
      </c>
      <c r="B1090">
        <v>17</v>
      </c>
      <c r="C1090">
        <v>770</v>
      </c>
      <c r="D1090">
        <v>863.83324081255398</v>
      </c>
      <c r="E1090">
        <v>25467</v>
      </c>
      <c r="F1090">
        <v>0.89137574663798402</v>
      </c>
      <c r="G1090">
        <v>3.0235206345466699</v>
      </c>
      <c r="H1090" t="s">
        <v>126</v>
      </c>
      <c r="I1090" t="s">
        <v>18</v>
      </c>
      <c r="J1090" t="s">
        <v>19</v>
      </c>
      <c r="K1090">
        <v>5</v>
      </c>
      <c r="L1090">
        <v>0.93660825800224801</v>
      </c>
    </row>
    <row r="1091" spans="1:12">
      <c r="A1091" t="str">
        <f t="shared" si="17"/>
        <v>S0800002417</v>
      </c>
      <c r="B1091">
        <v>17</v>
      </c>
      <c r="C1091">
        <v>995</v>
      </c>
      <c r="D1091">
        <v>1096.4746878835399</v>
      </c>
      <c r="E1091">
        <v>31461</v>
      </c>
      <c r="F1091">
        <v>0.90745368862147602</v>
      </c>
      <c r="G1091">
        <v>3.16264581545405</v>
      </c>
      <c r="H1091" t="s">
        <v>126</v>
      </c>
      <c r="I1091" t="s">
        <v>20</v>
      </c>
      <c r="J1091" t="s">
        <v>21</v>
      </c>
      <c r="K1091">
        <v>5</v>
      </c>
      <c r="L1091">
        <v>0.88005311299543199</v>
      </c>
    </row>
    <row r="1092" spans="1:12">
      <c r="A1092" t="str">
        <f t="shared" si="17"/>
        <v>S0800002517</v>
      </c>
      <c r="B1092">
        <v>17</v>
      </c>
      <c r="C1092">
        <v>28</v>
      </c>
      <c r="D1092">
        <v>29.219850461222698</v>
      </c>
      <c r="E1092">
        <v>870</v>
      </c>
      <c r="F1092">
        <v>0.95825267953230797</v>
      </c>
      <c r="G1092">
        <v>3.2183908045976999</v>
      </c>
      <c r="H1092" t="s">
        <v>126</v>
      </c>
      <c r="I1092" t="s">
        <v>22</v>
      </c>
      <c r="J1092" t="s">
        <v>23</v>
      </c>
      <c r="K1092">
        <v>5</v>
      </c>
      <c r="L1092">
        <v>1.1244531796602399</v>
      </c>
    </row>
    <row r="1093" spans="1:12">
      <c r="A1093" t="str">
        <f t="shared" si="17"/>
        <v>S0800002617</v>
      </c>
      <c r="B1093">
        <v>17</v>
      </c>
      <c r="C1093">
        <v>13</v>
      </c>
      <c r="D1093">
        <v>17.740673640299502</v>
      </c>
      <c r="E1093">
        <v>871</v>
      </c>
      <c r="F1093">
        <v>0.73277938953058397</v>
      </c>
      <c r="G1093">
        <v>1.4925373134328399</v>
      </c>
      <c r="H1093" t="s">
        <v>126</v>
      </c>
      <c r="I1093" t="s">
        <v>24</v>
      </c>
      <c r="J1093" t="s">
        <v>25</v>
      </c>
      <c r="K1093">
        <v>5</v>
      </c>
      <c r="L1093">
        <v>1.0248120110840999</v>
      </c>
    </row>
    <row r="1094" spans="1:12">
      <c r="A1094" t="str">
        <f t="shared" si="17"/>
        <v>S0800002717</v>
      </c>
      <c r="B1094">
        <v>17</v>
      </c>
      <c r="C1094">
        <v>642</v>
      </c>
      <c r="D1094">
        <v>647.22191402891394</v>
      </c>
      <c r="E1094">
        <v>16117</v>
      </c>
      <c r="F1094">
        <v>0.99193180280870397</v>
      </c>
      <c r="G1094">
        <v>3.9833715952100301</v>
      </c>
      <c r="H1094" t="s">
        <v>126</v>
      </c>
      <c r="I1094" t="s">
        <v>128</v>
      </c>
      <c r="J1094" t="s">
        <v>27</v>
      </c>
      <c r="K1094">
        <v>5</v>
      </c>
      <c r="L1094">
        <v>0.92768923128982295</v>
      </c>
    </row>
    <row r="1095" spans="1:12">
      <c r="A1095" t="str">
        <f t="shared" si="17"/>
        <v>S0800002817</v>
      </c>
      <c r="B1095">
        <v>17</v>
      </c>
      <c r="C1095">
        <v>37</v>
      </c>
      <c r="D1095">
        <v>28.817801943598099</v>
      </c>
      <c r="E1095">
        <v>1125</v>
      </c>
      <c r="F1095">
        <v>1.28392859637303</v>
      </c>
      <c r="G1095">
        <v>3.2888888888888901</v>
      </c>
      <c r="H1095" t="s">
        <v>126</v>
      </c>
      <c r="I1095" t="s">
        <v>28</v>
      </c>
      <c r="J1095" t="s">
        <v>29</v>
      </c>
      <c r="K1095">
        <v>5</v>
      </c>
      <c r="L1095">
        <v>1.1480283935856701</v>
      </c>
    </row>
    <row r="1096" spans="1:12">
      <c r="A1096" t="str">
        <f t="shared" si="17"/>
        <v>S0810000117</v>
      </c>
      <c r="B1096">
        <v>17</v>
      </c>
      <c r="C1096">
        <v>33</v>
      </c>
      <c r="D1096">
        <v>31.017591369968699</v>
      </c>
      <c r="E1096">
        <v>4507</v>
      </c>
      <c r="F1096">
        <v>1.0639123975290601</v>
      </c>
      <c r="G1096">
        <v>0.732194364322165</v>
      </c>
      <c r="H1096" t="s">
        <v>126</v>
      </c>
      <c r="I1096" t="s">
        <v>30</v>
      </c>
      <c r="J1096" t="s">
        <v>129</v>
      </c>
      <c r="K1096">
        <v>5</v>
      </c>
      <c r="L1096">
        <v>0.86374698429626995</v>
      </c>
    </row>
    <row r="1097" spans="1:12">
      <c r="A1097" t="str">
        <f t="shared" si="17"/>
        <v>S0800001518</v>
      </c>
      <c r="B1097">
        <v>18</v>
      </c>
      <c r="C1097">
        <v>533</v>
      </c>
      <c r="D1097">
        <v>599.54765139929998</v>
      </c>
      <c r="E1097">
        <v>15881</v>
      </c>
      <c r="F1097">
        <v>0.88900356586506102</v>
      </c>
      <c r="G1097">
        <v>3.3562118254517999</v>
      </c>
      <c r="H1097" t="s">
        <v>126</v>
      </c>
      <c r="I1097" t="s">
        <v>2</v>
      </c>
      <c r="J1097" t="s">
        <v>3</v>
      </c>
      <c r="K1097">
        <v>6</v>
      </c>
      <c r="L1097">
        <v>0.88784355778959501</v>
      </c>
    </row>
    <row r="1098" spans="1:12">
      <c r="A1098" t="str">
        <f t="shared" si="17"/>
        <v>S0800001618</v>
      </c>
      <c r="B1098">
        <v>18</v>
      </c>
      <c r="C1098">
        <v>138</v>
      </c>
      <c r="D1098">
        <v>150.36112927652701</v>
      </c>
      <c r="E1098">
        <v>4455</v>
      </c>
      <c r="F1098">
        <v>0.91779039346137503</v>
      </c>
      <c r="G1098">
        <v>3.0976430976431</v>
      </c>
      <c r="H1098" t="s">
        <v>126</v>
      </c>
      <c r="I1098" t="s">
        <v>4</v>
      </c>
      <c r="J1098" t="s">
        <v>5</v>
      </c>
      <c r="K1098">
        <v>6</v>
      </c>
      <c r="L1098">
        <v>0.93890388769647204</v>
      </c>
    </row>
    <row r="1099" spans="1:12">
      <c r="A1099" t="str">
        <f t="shared" si="17"/>
        <v>S0800001718</v>
      </c>
      <c r="B1099">
        <v>18</v>
      </c>
      <c r="C1099">
        <v>205</v>
      </c>
      <c r="D1099">
        <v>212.531227737439</v>
      </c>
      <c r="E1099">
        <v>6994</v>
      </c>
      <c r="F1099">
        <v>0.96456413573847599</v>
      </c>
      <c r="G1099">
        <v>2.93108378610237</v>
      </c>
      <c r="H1099" t="s">
        <v>126</v>
      </c>
      <c r="I1099" t="s">
        <v>6</v>
      </c>
      <c r="J1099" t="s">
        <v>7</v>
      </c>
      <c r="K1099">
        <v>6</v>
      </c>
      <c r="L1099">
        <v>1.01578396233452</v>
      </c>
    </row>
    <row r="1100" spans="1:12">
      <c r="A1100" t="str">
        <f t="shared" si="17"/>
        <v>S0800001818</v>
      </c>
      <c r="B1100">
        <v>18</v>
      </c>
      <c r="C1100">
        <v>396</v>
      </c>
      <c r="D1100">
        <v>432.49609321345201</v>
      </c>
      <c r="E1100">
        <v>10653</v>
      </c>
      <c r="F1100">
        <v>0.91561520719809097</v>
      </c>
      <c r="G1100">
        <v>3.7172627428893299</v>
      </c>
      <c r="H1100" t="s">
        <v>126</v>
      </c>
      <c r="I1100" t="s">
        <v>127</v>
      </c>
      <c r="J1100" t="s">
        <v>9</v>
      </c>
      <c r="K1100">
        <v>6</v>
      </c>
      <c r="L1100">
        <v>0.94163189465442398</v>
      </c>
    </row>
    <row r="1101" spans="1:12">
      <c r="A1101" t="str">
        <f t="shared" si="17"/>
        <v>S0800001918</v>
      </c>
      <c r="B1101">
        <v>18</v>
      </c>
      <c r="C1101">
        <v>304</v>
      </c>
      <c r="D1101">
        <v>312.09761713523602</v>
      </c>
      <c r="E1101">
        <v>8797</v>
      </c>
      <c r="F1101">
        <v>0.97405421672371395</v>
      </c>
      <c r="G1101">
        <v>3.4557235421166301</v>
      </c>
      <c r="H1101" t="s">
        <v>126</v>
      </c>
      <c r="I1101" t="s">
        <v>10</v>
      </c>
      <c r="J1101" t="s">
        <v>11</v>
      </c>
      <c r="K1101">
        <v>6</v>
      </c>
      <c r="L1101">
        <v>1.02144813468275</v>
      </c>
    </row>
    <row r="1102" spans="1:12">
      <c r="A1102" t="str">
        <f t="shared" si="17"/>
        <v>S0800002018</v>
      </c>
      <c r="B1102">
        <v>18</v>
      </c>
      <c r="C1102">
        <v>603</v>
      </c>
      <c r="D1102">
        <v>602.24109016299201</v>
      </c>
      <c r="E1102">
        <v>22859</v>
      </c>
      <c r="F1102">
        <v>1.0012601429052299</v>
      </c>
      <c r="G1102">
        <v>2.6379106697580799</v>
      </c>
      <c r="H1102" t="s">
        <v>126</v>
      </c>
      <c r="I1102" t="s">
        <v>12</v>
      </c>
      <c r="J1102" t="s">
        <v>13</v>
      </c>
      <c r="K1102">
        <v>6</v>
      </c>
      <c r="L1102">
        <v>0.98316921672657598</v>
      </c>
    </row>
    <row r="1103" spans="1:12">
      <c r="A1103" t="str">
        <f t="shared" si="17"/>
        <v>S0800002118</v>
      </c>
      <c r="B1103">
        <v>18</v>
      </c>
      <c r="C1103">
        <v>1559</v>
      </c>
      <c r="D1103">
        <v>1674.3641628621699</v>
      </c>
      <c r="E1103">
        <v>68967</v>
      </c>
      <c r="F1103">
        <v>0.93109971807748004</v>
      </c>
      <c r="G1103">
        <v>2.2605013992199199</v>
      </c>
      <c r="H1103" t="s">
        <v>126</v>
      </c>
      <c r="I1103" t="s">
        <v>14</v>
      </c>
      <c r="J1103" t="s">
        <v>15</v>
      </c>
      <c r="K1103">
        <v>6</v>
      </c>
      <c r="L1103">
        <v>0.93722413249718595</v>
      </c>
    </row>
    <row r="1104" spans="1:12">
      <c r="A1104" t="str">
        <f t="shared" si="17"/>
        <v>S0800002218</v>
      </c>
      <c r="B1104">
        <v>18</v>
      </c>
      <c r="C1104">
        <v>361</v>
      </c>
      <c r="D1104">
        <v>360.88755047883802</v>
      </c>
      <c r="E1104">
        <v>10762</v>
      </c>
      <c r="F1104">
        <v>1.00031159157752</v>
      </c>
      <c r="G1104">
        <v>3.3543950938487299</v>
      </c>
      <c r="H1104" t="s">
        <v>126</v>
      </c>
      <c r="I1104" t="s">
        <v>16</v>
      </c>
      <c r="J1104" t="s">
        <v>17</v>
      </c>
      <c r="K1104">
        <v>6</v>
      </c>
      <c r="L1104">
        <v>0.96049131224474904</v>
      </c>
    </row>
    <row r="1105" spans="1:12">
      <c r="A1105" t="str">
        <f t="shared" si="17"/>
        <v>S0800002318</v>
      </c>
      <c r="B1105">
        <v>18</v>
      </c>
      <c r="C1105">
        <v>688</v>
      </c>
      <c r="D1105">
        <v>831.05776186900596</v>
      </c>
      <c r="E1105">
        <v>25098</v>
      </c>
      <c r="F1105">
        <v>0.82786062722370102</v>
      </c>
      <c r="G1105">
        <v>2.7412542832098201</v>
      </c>
      <c r="H1105" t="s">
        <v>126</v>
      </c>
      <c r="I1105" t="s">
        <v>18</v>
      </c>
      <c r="J1105" t="s">
        <v>19</v>
      </c>
      <c r="K1105">
        <v>6</v>
      </c>
      <c r="L1105">
        <v>0.92271577357134504</v>
      </c>
    </row>
    <row r="1106" spans="1:12">
      <c r="A1106" t="str">
        <f t="shared" si="17"/>
        <v>S0800002418</v>
      </c>
      <c r="B1106">
        <v>18</v>
      </c>
      <c r="C1106">
        <v>851</v>
      </c>
      <c r="D1106">
        <v>1005.95766145476</v>
      </c>
      <c r="E1106">
        <v>30547</v>
      </c>
      <c r="F1106">
        <v>0.84596005637983895</v>
      </c>
      <c r="G1106">
        <v>2.7858709529577399</v>
      </c>
      <c r="H1106" t="s">
        <v>126</v>
      </c>
      <c r="I1106" t="s">
        <v>20</v>
      </c>
      <c r="J1106" t="s">
        <v>21</v>
      </c>
      <c r="K1106">
        <v>6</v>
      </c>
      <c r="L1106">
        <v>0.87586406993295096</v>
      </c>
    </row>
    <row r="1107" spans="1:12">
      <c r="A1107" t="str">
        <f t="shared" si="17"/>
        <v>S0800002518</v>
      </c>
      <c r="B1107">
        <v>18</v>
      </c>
      <c r="C1107">
        <v>19</v>
      </c>
      <c r="D1107">
        <v>24.8766457819229</v>
      </c>
      <c r="E1107">
        <v>825</v>
      </c>
      <c r="F1107">
        <v>0.76376856295500795</v>
      </c>
      <c r="G1107">
        <v>2.3030303030303001</v>
      </c>
      <c r="H1107" t="s">
        <v>126</v>
      </c>
      <c r="I1107" t="s">
        <v>22</v>
      </c>
      <c r="J1107" t="s">
        <v>23</v>
      </c>
      <c r="K1107">
        <v>6</v>
      </c>
      <c r="L1107">
        <v>1.1028535556602601</v>
      </c>
    </row>
    <row r="1108" spans="1:12">
      <c r="A1108" t="str">
        <f t="shared" si="17"/>
        <v>S0800002618</v>
      </c>
      <c r="B1108">
        <v>18</v>
      </c>
      <c r="C1108">
        <v>26</v>
      </c>
      <c r="D1108">
        <v>22.221977129093201</v>
      </c>
      <c r="E1108">
        <v>884</v>
      </c>
      <c r="F1108">
        <v>1.17001290429557</v>
      </c>
      <c r="G1108">
        <v>2.9411764705882399</v>
      </c>
      <c r="H1108" t="s">
        <v>126</v>
      </c>
      <c r="I1108" t="s">
        <v>24</v>
      </c>
      <c r="J1108" t="s">
        <v>25</v>
      </c>
      <c r="K1108">
        <v>6</v>
      </c>
      <c r="L1108">
        <v>1.0251249369697799</v>
      </c>
    </row>
    <row r="1109" spans="1:12">
      <c r="A1109" t="str">
        <f t="shared" si="17"/>
        <v>S0800002718</v>
      </c>
      <c r="B1109">
        <v>18</v>
      </c>
      <c r="C1109">
        <v>551</v>
      </c>
      <c r="D1109">
        <v>616.99560443792905</v>
      </c>
      <c r="E1109">
        <v>15981</v>
      </c>
      <c r="F1109">
        <v>0.89303715624027902</v>
      </c>
      <c r="G1109">
        <v>3.4478443151242102</v>
      </c>
      <c r="H1109" t="s">
        <v>126</v>
      </c>
      <c r="I1109" t="s">
        <v>128</v>
      </c>
      <c r="J1109" t="s">
        <v>27</v>
      </c>
      <c r="K1109">
        <v>6</v>
      </c>
      <c r="L1109">
        <v>0.92412801154677704</v>
      </c>
    </row>
    <row r="1110" spans="1:12">
      <c r="A1110" t="str">
        <f t="shared" si="17"/>
        <v>S0800002818</v>
      </c>
      <c r="B1110">
        <v>18</v>
      </c>
      <c r="C1110">
        <v>30</v>
      </c>
      <c r="D1110">
        <v>26.976941748665499</v>
      </c>
      <c r="E1110">
        <v>1092</v>
      </c>
      <c r="F1110">
        <v>1.1120608214044101</v>
      </c>
      <c r="G1110">
        <v>2.7472527472527499</v>
      </c>
      <c r="H1110" t="s">
        <v>126</v>
      </c>
      <c r="I1110" t="s">
        <v>28</v>
      </c>
      <c r="J1110" t="s">
        <v>29</v>
      </c>
      <c r="K1110">
        <v>6</v>
      </c>
      <c r="L1110">
        <v>1.12791176458234</v>
      </c>
    </row>
    <row r="1111" spans="1:12">
      <c r="A1111" t="str">
        <f t="shared" si="17"/>
        <v>S0810000118</v>
      </c>
      <c r="B1111">
        <v>18</v>
      </c>
      <c r="C1111">
        <v>22</v>
      </c>
      <c r="D1111">
        <v>26.872801176309</v>
      </c>
      <c r="E1111">
        <v>4295</v>
      </c>
      <c r="F1111">
        <v>0.81867163217041705</v>
      </c>
      <c r="G1111">
        <v>0.51222351571594904</v>
      </c>
      <c r="H1111" t="s">
        <v>126</v>
      </c>
      <c r="I1111" t="s">
        <v>30</v>
      </c>
      <c r="J1111" t="s">
        <v>129</v>
      </c>
      <c r="K1111">
        <v>6</v>
      </c>
      <c r="L1111">
        <v>0.87352703688802802</v>
      </c>
    </row>
    <row r="1112" spans="1:12">
      <c r="A1112" t="str">
        <f t="shared" si="17"/>
        <v>S0800001519</v>
      </c>
      <c r="B1112">
        <v>19</v>
      </c>
      <c r="C1112">
        <v>452</v>
      </c>
      <c r="D1112">
        <v>548.53026720778996</v>
      </c>
      <c r="E1112">
        <v>16163</v>
      </c>
      <c r="F1112">
        <v>0.82402016264450995</v>
      </c>
      <c r="G1112">
        <v>2.7965105487842599</v>
      </c>
      <c r="H1112" t="s">
        <v>126</v>
      </c>
      <c r="I1112" t="s">
        <v>2</v>
      </c>
      <c r="J1112" t="s">
        <v>3</v>
      </c>
      <c r="K1112">
        <v>7</v>
      </c>
      <c r="L1112">
        <v>0.87909879334336205</v>
      </c>
    </row>
    <row r="1113" spans="1:12">
      <c r="A1113" t="str">
        <f t="shared" si="17"/>
        <v>S0800001619</v>
      </c>
      <c r="B1113">
        <v>19</v>
      </c>
      <c r="C1113">
        <v>138</v>
      </c>
      <c r="D1113">
        <v>145.22230149478801</v>
      </c>
      <c r="E1113">
        <v>4384</v>
      </c>
      <c r="F1113">
        <v>0.950267270106258</v>
      </c>
      <c r="G1113">
        <v>3.1478102189780999</v>
      </c>
      <c r="H1113" t="s">
        <v>126</v>
      </c>
      <c r="I1113" t="s">
        <v>4</v>
      </c>
      <c r="J1113" t="s">
        <v>5</v>
      </c>
      <c r="K1113">
        <v>7</v>
      </c>
      <c r="L1113">
        <v>0.93860142881049102</v>
      </c>
    </row>
    <row r="1114" spans="1:12">
      <c r="A1114" t="str">
        <f t="shared" si="17"/>
        <v>S0800001719</v>
      </c>
      <c r="B1114">
        <v>19</v>
      </c>
      <c r="C1114">
        <v>200</v>
      </c>
      <c r="D1114">
        <v>228.52207981940799</v>
      </c>
      <c r="E1114">
        <v>7154</v>
      </c>
      <c r="F1114">
        <v>0.87518895398664498</v>
      </c>
      <c r="G1114">
        <v>2.79563880346659</v>
      </c>
      <c r="H1114" t="s">
        <v>126</v>
      </c>
      <c r="I1114" t="s">
        <v>6</v>
      </c>
      <c r="J1114" t="s">
        <v>7</v>
      </c>
      <c r="K1114">
        <v>7</v>
      </c>
      <c r="L1114">
        <v>1.0043724133481799</v>
      </c>
    </row>
    <row r="1115" spans="1:12">
      <c r="A1115" t="str">
        <f t="shared" si="17"/>
        <v>S0800001819</v>
      </c>
      <c r="B1115">
        <v>19</v>
      </c>
      <c r="C1115">
        <v>373</v>
      </c>
      <c r="D1115">
        <v>421.66122508122601</v>
      </c>
      <c r="E1115">
        <v>10670</v>
      </c>
      <c r="F1115">
        <v>0.884596395905618</v>
      </c>
      <c r="G1115">
        <v>3.4957825679475198</v>
      </c>
      <c r="H1115" t="s">
        <v>126</v>
      </c>
      <c r="I1115" t="s">
        <v>127</v>
      </c>
      <c r="J1115" t="s">
        <v>9</v>
      </c>
      <c r="K1115">
        <v>7</v>
      </c>
      <c r="L1115">
        <v>0.93833896390704996</v>
      </c>
    </row>
    <row r="1116" spans="1:12">
      <c r="A1116" t="str">
        <f t="shared" si="17"/>
        <v>S0800001919</v>
      </c>
      <c r="B1116">
        <v>19</v>
      </c>
      <c r="C1116">
        <v>282</v>
      </c>
      <c r="D1116">
        <v>313.46672406268999</v>
      </c>
      <c r="E1116">
        <v>8689</v>
      </c>
      <c r="F1116">
        <v>0.89961701945627703</v>
      </c>
      <c r="G1116">
        <v>3.2454827943376698</v>
      </c>
      <c r="H1116" t="s">
        <v>126</v>
      </c>
      <c r="I1116" t="s">
        <v>10</v>
      </c>
      <c r="J1116" t="s">
        <v>11</v>
      </c>
      <c r="K1116">
        <v>7</v>
      </c>
      <c r="L1116">
        <v>1.01299332822988</v>
      </c>
    </row>
    <row r="1117" spans="1:12">
      <c r="A1117" t="str">
        <f t="shared" si="17"/>
        <v>S0800002019</v>
      </c>
      <c r="B1117">
        <v>19</v>
      </c>
      <c r="C1117">
        <v>582</v>
      </c>
      <c r="D1117">
        <v>604.01413929374098</v>
      </c>
      <c r="E1117">
        <v>22189</v>
      </c>
      <c r="F1117">
        <v>0.96355360270294099</v>
      </c>
      <c r="G1117">
        <v>2.6229212672946098</v>
      </c>
      <c r="H1117" t="s">
        <v>126</v>
      </c>
      <c r="I1117" t="s">
        <v>12</v>
      </c>
      <c r="J1117" t="s">
        <v>13</v>
      </c>
      <c r="K1117">
        <v>7</v>
      </c>
      <c r="L1117">
        <v>0.98203400737201496</v>
      </c>
    </row>
    <row r="1118" spans="1:12">
      <c r="A1118" t="str">
        <f t="shared" si="17"/>
        <v>S0800002119</v>
      </c>
      <c r="B1118">
        <v>19</v>
      </c>
      <c r="C1118">
        <v>1443</v>
      </c>
      <c r="D1118">
        <v>1619.30293602245</v>
      </c>
      <c r="E1118">
        <v>69426</v>
      </c>
      <c r="F1118">
        <v>0.89112417936108301</v>
      </c>
      <c r="G1118">
        <v>2.0784720421744001</v>
      </c>
      <c r="H1118" t="s">
        <v>126</v>
      </c>
      <c r="I1118" t="s">
        <v>14</v>
      </c>
      <c r="J1118" t="s">
        <v>15</v>
      </c>
      <c r="K1118">
        <v>7</v>
      </c>
      <c r="L1118">
        <v>0.93041098400664801</v>
      </c>
    </row>
    <row r="1119" spans="1:12">
      <c r="A1119" t="str">
        <f t="shared" si="17"/>
        <v>S0800002219</v>
      </c>
      <c r="B1119">
        <v>19</v>
      </c>
      <c r="C1119">
        <v>313</v>
      </c>
      <c r="D1119">
        <v>345.82821137660397</v>
      </c>
      <c r="E1119">
        <v>10722</v>
      </c>
      <c r="F1119">
        <v>0.90507364553652803</v>
      </c>
      <c r="G1119">
        <v>2.9192314866629401</v>
      </c>
      <c r="H1119" t="s">
        <v>126</v>
      </c>
      <c r="I1119" t="s">
        <v>16</v>
      </c>
      <c r="J1119" t="s">
        <v>17</v>
      </c>
      <c r="K1119">
        <v>7</v>
      </c>
      <c r="L1119">
        <v>0.96004629147306197</v>
      </c>
    </row>
    <row r="1120" spans="1:12">
      <c r="A1120" t="str">
        <f t="shared" si="17"/>
        <v>S0800002319</v>
      </c>
      <c r="B1120">
        <v>19</v>
      </c>
      <c r="C1120">
        <v>677</v>
      </c>
      <c r="D1120">
        <v>814.65201701532703</v>
      </c>
      <c r="E1120">
        <v>25598</v>
      </c>
      <c r="F1120">
        <v>0.83102967384816895</v>
      </c>
      <c r="G1120">
        <v>2.6447378701461099</v>
      </c>
      <c r="H1120" t="s">
        <v>126</v>
      </c>
      <c r="I1120" t="s">
        <v>18</v>
      </c>
      <c r="J1120" t="s">
        <v>19</v>
      </c>
      <c r="K1120">
        <v>7</v>
      </c>
      <c r="L1120">
        <v>0.90882328914044197</v>
      </c>
    </row>
    <row r="1121" spans="1:12">
      <c r="A1121" t="str">
        <f t="shared" si="17"/>
        <v>S0800002419</v>
      </c>
      <c r="B1121">
        <v>19</v>
      </c>
      <c r="C1121">
        <v>829</v>
      </c>
      <c r="D1121">
        <v>983.53661119065805</v>
      </c>
      <c r="E1121">
        <v>29844</v>
      </c>
      <c r="F1121">
        <v>0.84287660527087305</v>
      </c>
      <c r="G1121">
        <v>2.7777777777777799</v>
      </c>
      <c r="H1121" t="s">
        <v>126</v>
      </c>
      <c r="I1121" t="s">
        <v>20</v>
      </c>
      <c r="J1121" t="s">
        <v>21</v>
      </c>
      <c r="K1121">
        <v>7</v>
      </c>
      <c r="L1121">
        <v>0.87167502687047005</v>
      </c>
    </row>
    <row r="1122" spans="1:12">
      <c r="A1122" t="str">
        <f t="shared" si="17"/>
        <v>S0800002519</v>
      </c>
      <c r="B1122">
        <v>19</v>
      </c>
      <c r="C1122">
        <v>27</v>
      </c>
      <c r="D1122">
        <v>30.0526331415094</v>
      </c>
      <c r="E1122">
        <v>743</v>
      </c>
      <c r="F1122">
        <v>0.89842377115058802</v>
      </c>
      <c r="G1122">
        <v>3.6339165545087502</v>
      </c>
      <c r="H1122" t="s">
        <v>126</v>
      </c>
      <c r="I1122" t="s">
        <v>22</v>
      </c>
      <c r="J1122" t="s">
        <v>23</v>
      </c>
      <c r="K1122">
        <v>7</v>
      </c>
      <c r="L1122">
        <v>1.0812539316602801</v>
      </c>
    </row>
    <row r="1123" spans="1:12">
      <c r="A1123" t="str">
        <f t="shared" si="17"/>
        <v>S0800002619</v>
      </c>
      <c r="B1123">
        <v>19</v>
      </c>
      <c r="C1123">
        <v>19</v>
      </c>
      <c r="D1123">
        <v>21.423145327788198</v>
      </c>
      <c r="E1123">
        <v>913</v>
      </c>
      <c r="F1123">
        <v>0.88689124352598503</v>
      </c>
      <c r="G1123">
        <v>2.0810514786418399</v>
      </c>
      <c r="H1123" t="s">
        <v>126</v>
      </c>
      <c r="I1123" t="s">
        <v>24</v>
      </c>
      <c r="J1123" t="s">
        <v>25</v>
      </c>
      <c r="K1123">
        <v>7</v>
      </c>
      <c r="L1123">
        <v>1.0254378628554599</v>
      </c>
    </row>
    <row r="1124" spans="1:12">
      <c r="A1124" t="str">
        <f t="shared" si="17"/>
        <v>S0800002719</v>
      </c>
      <c r="B1124">
        <v>19</v>
      </c>
      <c r="C1124">
        <v>520</v>
      </c>
      <c r="D1124">
        <v>611.850904662169</v>
      </c>
      <c r="E1124">
        <v>15829</v>
      </c>
      <c r="F1124">
        <v>0.84988025029907599</v>
      </c>
      <c r="G1124">
        <v>3.2851096089456102</v>
      </c>
      <c r="H1124" t="s">
        <v>126</v>
      </c>
      <c r="I1124" t="s">
        <v>128</v>
      </c>
      <c r="J1124" t="s">
        <v>27</v>
      </c>
      <c r="K1124">
        <v>7</v>
      </c>
      <c r="L1124">
        <v>0.92056679180373002</v>
      </c>
    </row>
    <row r="1125" spans="1:12">
      <c r="A1125" t="str">
        <f t="shared" si="17"/>
        <v>S0800002819</v>
      </c>
      <c r="B1125">
        <v>19</v>
      </c>
      <c r="C1125">
        <v>26</v>
      </c>
      <c r="D1125">
        <v>25.130361546871399</v>
      </c>
      <c r="E1125">
        <v>1193</v>
      </c>
      <c r="F1125">
        <v>1.03460509119643</v>
      </c>
      <c r="G1125">
        <v>2.17937971500419</v>
      </c>
      <c r="H1125" t="s">
        <v>126</v>
      </c>
      <c r="I1125" t="s">
        <v>28</v>
      </c>
      <c r="J1125" t="s">
        <v>29</v>
      </c>
      <c r="K1125">
        <v>7</v>
      </c>
      <c r="L1125">
        <v>1.1077951355790201</v>
      </c>
    </row>
    <row r="1126" spans="1:12">
      <c r="A1126" t="str">
        <f t="shared" si="17"/>
        <v>S0810000119</v>
      </c>
      <c r="B1126">
        <v>19</v>
      </c>
      <c r="C1126">
        <v>24</v>
      </c>
      <c r="D1126">
        <v>29.822919739387501</v>
      </c>
      <c r="E1126">
        <v>4505</v>
      </c>
      <c r="F1126">
        <v>0.804750179047791</v>
      </c>
      <c r="G1126">
        <v>0.53274139844617097</v>
      </c>
      <c r="H1126" t="s">
        <v>126</v>
      </c>
      <c r="I1126" t="s">
        <v>30</v>
      </c>
      <c r="J1126" t="s">
        <v>129</v>
      </c>
      <c r="K1126">
        <v>7</v>
      </c>
      <c r="L1126">
        <v>0.88330708947978498</v>
      </c>
    </row>
    <row r="1127" spans="1:12">
      <c r="A1127" t="str">
        <f t="shared" si="17"/>
        <v>S0800001520</v>
      </c>
      <c r="B1127">
        <v>20</v>
      </c>
      <c r="C1127">
        <v>515</v>
      </c>
      <c r="D1127">
        <v>573.53062448441995</v>
      </c>
      <c r="E1127">
        <v>16691</v>
      </c>
      <c r="F1127">
        <v>0.89794681925304998</v>
      </c>
      <c r="G1127">
        <v>3.08549517704152</v>
      </c>
      <c r="H1127" t="s">
        <v>126</v>
      </c>
      <c r="I1127" t="s">
        <v>2</v>
      </c>
      <c r="J1127" t="s">
        <v>3</v>
      </c>
      <c r="K1127">
        <v>8</v>
      </c>
      <c r="L1127">
        <v>0.87035402889712998</v>
      </c>
    </row>
    <row r="1128" spans="1:12">
      <c r="A1128" t="str">
        <f t="shared" si="17"/>
        <v>S0800001620</v>
      </c>
      <c r="B1128">
        <v>20</v>
      </c>
      <c r="C1128">
        <v>149</v>
      </c>
      <c r="D1128">
        <v>161.441683993661</v>
      </c>
      <c r="E1128">
        <v>4387</v>
      </c>
      <c r="F1128">
        <v>0.92293388122642805</v>
      </c>
      <c r="G1128">
        <v>3.39639844996581</v>
      </c>
      <c r="H1128" t="s">
        <v>126</v>
      </c>
      <c r="I1128" t="s">
        <v>4</v>
      </c>
      <c r="J1128" t="s">
        <v>5</v>
      </c>
      <c r="K1128">
        <v>8</v>
      </c>
      <c r="L1128">
        <v>0.93829896992451101</v>
      </c>
    </row>
    <row r="1129" spans="1:12">
      <c r="A1129" t="str">
        <f t="shared" si="17"/>
        <v>S0800001720</v>
      </c>
      <c r="B1129">
        <v>20</v>
      </c>
      <c r="C1129">
        <v>228</v>
      </c>
      <c r="D1129">
        <v>224.32315474964801</v>
      </c>
      <c r="E1129">
        <v>7065</v>
      </c>
      <c r="F1129">
        <v>1.01639084139333</v>
      </c>
      <c r="G1129">
        <v>3.2271762208067898</v>
      </c>
      <c r="H1129" t="s">
        <v>126</v>
      </c>
      <c r="I1129" t="s">
        <v>6</v>
      </c>
      <c r="J1129" t="s">
        <v>7</v>
      </c>
      <c r="K1129">
        <v>8</v>
      </c>
      <c r="L1129">
        <v>0.99296086436183495</v>
      </c>
    </row>
    <row r="1130" spans="1:12">
      <c r="A1130" t="str">
        <f t="shared" si="17"/>
        <v>S0800001820</v>
      </c>
      <c r="B1130">
        <v>20</v>
      </c>
      <c r="C1130">
        <v>443</v>
      </c>
      <c r="D1130">
        <v>463.72661617040598</v>
      </c>
      <c r="E1130">
        <v>10887</v>
      </c>
      <c r="F1130">
        <v>0.95530423433191602</v>
      </c>
      <c r="G1130">
        <v>4.0690732065766504</v>
      </c>
      <c r="H1130" t="s">
        <v>126</v>
      </c>
      <c r="I1130" t="s">
        <v>127</v>
      </c>
      <c r="J1130" t="s">
        <v>9</v>
      </c>
      <c r="K1130">
        <v>8</v>
      </c>
      <c r="L1130">
        <v>0.93504603315967605</v>
      </c>
    </row>
    <row r="1131" spans="1:12">
      <c r="A1131" t="str">
        <f t="shared" si="17"/>
        <v>S0800001920</v>
      </c>
      <c r="B1131">
        <v>20</v>
      </c>
      <c r="C1131">
        <v>308</v>
      </c>
      <c r="D1131">
        <v>319.43886740150799</v>
      </c>
      <c r="E1131">
        <v>8734</v>
      </c>
      <c r="F1131">
        <v>0.964190746434341</v>
      </c>
      <c r="G1131">
        <v>3.5264483627204002</v>
      </c>
      <c r="H1131" t="s">
        <v>126</v>
      </c>
      <c r="I1131" t="s">
        <v>10</v>
      </c>
      <c r="J1131" t="s">
        <v>11</v>
      </c>
      <c r="K1131">
        <v>8</v>
      </c>
      <c r="L1131">
        <v>1.00453852177701</v>
      </c>
    </row>
    <row r="1132" spans="1:12">
      <c r="A1132" t="str">
        <f t="shared" si="17"/>
        <v>S0800002020</v>
      </c>
      <c r="B1132">
        <v>20</v>
      </c>
      <c r="C1132">
        <v>609</v>
      </c>
      <c r="D1132">
        <v>599.06543637836899</v>
      </c>
      <c r="E1132">
        <v>22712</v>
      </c>
      <c r="F1132">
        <v>1.01658343649684</v>
      </c>
      <c r="G1132">
        <v>2.6814019020781998</v>
      </c>
      <c r="H1132" t="s">
        <v>126</v>
      </c>
      <c r="I1132" t="s">
        <v>12</v>
      </c>
      <c r="J1132" t="s">
        <v>13</v>
      </c>
      <c r="K1132">
        <v>8</v>
      </c>
      <c r="L1132">
        <v>0.98089879801745306</v>
      </c>
    </row>
    <row r="1133" spans="1:12">
      <c r="A1133" t="str">
        <f t="shared" si="17"/>
        <v>S0800002120</v>
      </c>
      <c r="B1133">
        <v>20</v>
      </c>
      <c r="C1133">
        <v>1577</v>
      </c>
      <c r="D1133">
        <v>1748.6349221837499</v>
      </c>
      <c r="E1133">
        <v>71174</v>
      </c>
      <c r="F1133">
        <v>0.90184633738790398</v>
      </c>
      <c r="G1133">
        <v>2.2156967431927401</v>
      </c>
      <c r="H1133" t="s">
        <v>126</v>
      </c>
      <c r="I1133" t="s">
        <v>14</v>
      </c>
      <c r="J1133" t="s">
        <v>15</v>
      </c>
      <c r="K1133">
        <v>8</v>
      </c>
      <c r="L1133">
        <v>0.92359783551610897</v>
      </c>
    </row>
    <row r="1134" spans="1:12">
      <c r="A1134" t="str">
        <f t="shared" si="17"/>
        <v>S0800002220</v>
      </c>
      <c r="B1134">
        <v>20</v>
      </c>
      <c r="C1134">
        <v>354</v>
      </c>
      <c r="D1134">
        <v>360.44051690379803</v>
      </c>
      <c r="E1134">
        <v>10449</v>
      </c>
      <c r="F1134">
        <v>0.98213154015225002</v>
      </c>
      <c r="G1134">
        <v>3.38788400803905</v>
      </c>
      <c r="H1134" t="s">
        <v>126</v>
      </c>
      <c r="I1134" t="s">
        <v>16</v>
      </c>
      <c r="J1134" t="s">
        <v>17</v>
      </c>
      <c r="K1134">
        <v>8</v>
      </c>
      <c r="L1134">
        <v>0.95960127070137502</v>
      </c>
    </row>
    <row r="1135" spans="1:12">
      <c r="A1135" t="str">
        <f t="shared" si="17"/>
        <v>S0800002320</v>
      </c>
      <c r="B1135">
        <v>20</v>
      </c>
      <c r="C1135">
        <v>735</v>
      </c>
      <c r="D1135">
        <v>845.16128779089001</v>
      </c>
      <c r="E1135">
        <v>26363</v>
      </c>
      <c r="F1135">
        <v>0.86965649115468402</v>
      </c>
      <c r="G1135">
        <v>2.7879983309942</v>
      </c>
      <c r="H1135" t="s">
        <v>126</v>
      </c>
      <c r="I1135" t="s">
        <v>18</v>
      </c>
      <c r="J1135" t="s">
        <v>19</v>
      </c>
      <c r="K1135">
        <v>8</v>
      </c>
      <c r="L1135">
        <v>0.89493080470953801</v>
      </c>
    </row>
    <row r="1136" spans="1:12">
      <c r="A1136" t="str">
        <f t="shared" si="17"/>
        <v>S0800002420</v>
      </c>
      <c r="B1136">
        <v>20</v>
      </c>
      <c r="C1136">
        <v>899</v>
      </c>
      <c r="D1136">
        <v>1008.54734188801</v>
      </c>
      <c r="E1136">
        <v>30286</v>
      </c>
      <c r="F1136">
        <v>0.89138106131643502</v>
      </c>
      <c r="G1136">
        <v>2.9683682229412902</v>
      </c>
      <c r="H1136" t="s">
        <v>126</v>
      </c>
      <c r="I1136" t="s">
        <v>20</v>
      </c>
      <c r="J1136" t="s">
        <v>21</v>
      </c>
      <c r="K1136">
        <v>8</v>
      </c>
      <c r="L1136">
        <v>0.86748598380798903</v>
      </c>
    </row>
    <row r="1137" spans="1:12">
      <c r="A1137" t="str">
        <f t="shared" si="17"/>
        <v>S0800002520</v>
      </c>
      <c r="B1137">
        <v>20</v>
      </c>
      <c r="C1137">
        <v>31</v>
      </c>
      <c r="D1137">
        <v>28.907206243623399</v>
      </c>
      <c r="E1137">
        <v>782</v>
      </c>
      <c r="F1137">
        <v>1.07239695661833</v>
      </c>
      <c r="G1137">
        <v>3.9641943734015301</v>
      </c>
      <c r="H1137" t="s">
        <v>126</v>
      </c>
      <c r="I1137" t="s">
        <v>22</v>
      </c>
      <c r="J1137" t="s">
        <v>23</v>
      </c>
      <c r="K1137">
        <v>8</v>
      </c>
      <c r="L1137">
        <v>1.05965430766031</v>
      </c>
    </row>
    <row r="1138" spans="1:12">
      <c r="A1138" t="str">
        <f t="shared" si="17"/>
        <v>S0800002620</v>
      </c>
      <c r="B1138">
        <v>20</v>
      </c>
      <c r="C1138">
        <v>21</v>
      </c>
      <c r="D1138">
        <v>19.221079537276701</v>
      </c>
      <c r="E1138">
        <v>895</v>
      </c>
      <c r="F1138">
        <v>1.0925504969308999</v>
      </c>
      <c r="G1138">
        <v>2.3463687150838002</v>
      </c>
      <c r="H1138" t="s">
        <v>126</v>
      </c>
      <c r="I1138" t="s">
        <v>24</v>
      </c>
      <c r="J1138" t="s">
        <v>25</v>
      </c>
      <c r="K1138">
        <v>8</v>
      </c>
      <c r="L1138">
        <v>1.0257507887411399</v>
      </c>
    </row>
    <row r="1139" spans="1:12">
      <c r="A1139" t="str">
        <f t="shared" si="17"/>
        <v>S0800002720</v>
      </c>
      <c r="B1139">
        <v>20</v>
      </c>
      <c r="C1139">
        <v>630</v>
      </c>
      <c r="D1139">
        <v>659.83525595394997</v>
      </c>
      <c r="E1139">
        <v>16482</v>
      </c>
      <c r="F1139">
        <v>0.95478378021675103</v>
      </c>
      <c r="G1139">
        <v>3.8223516563523798</v>
      </c>
      <c r="H1139" t="s">
        <v>126</v>
      </c>
      <c r="I1139" t="s">
        <v>128</v>
      </c>
      <c r="J1139" t="s">
        <v>27</v>
      </c>
      <c r="K1139">
        <v>8</v>
      </c>
      <c r="L1139">
        <v>0.917005572060684</v>
      </c>
    </row>
    <row r="1140" spans="1:12">
      <c r="A1140" t="str">
        <f t="shared" si="17"/>
        <v>S0800002820</v>
      </c>
      <c r="B1140">
        <v>20</v>
      </c>
      <c r="C1140">
        <v>35</v>
      </c>
      <c r="D1140">
        <v>32.650934465500299</v>
      </c>
      <c r="E1140">
        <v>1182</v>
      </c>
      <c r="F1140">
        <v>1.0719448179035</v>
      </c>
      <c r="G1140">
        <v>2.96108291032149</v>
      </c>
      <c r="H1140" t="s">
        <v>126</v>
      </c>
      <c r="I1140" t="s">
        <v>28</v>
      </c>
      <c r="J1140" t="s">
        <v>29</v>
      </c>
      <c r="K1140">
        <v>8</v>
      </c>
      <c r="L1140">
        <v>1.08767850657569</v>
      </c>
    </row>
    <row r="1141" spans="1:12">
      <c r="A1141" t="str">
        <f t="shared" si="17"/>
        <v>S0810000120</v>
      </c>
      <c r="B1141">
        <v>20</v>
      </c>
      <c r="C1141">
        <v>29</v>
      </c>
      <c r="D1141">
        <v>29.5139084445596</v>
      </c>
      <c r="E1141">
        <v>4619</v>
      </c>
      <c r="F1141">
        <v>0.98258758423931103</v>
      </c>
      <c r="G1141">
        <v>0.62784152413942396</v>
      </c>
      <c r="H1141" t="s">
        <v>126</v>
      </c>
      <c r="I1141" t="s">
        <v>30</v>
      </c>
      <c r="J1141" t="s">
        <v>129</v>
      </c>
      <c r="K1141">
        <v>8</v>
      </c>
      <c r="L1141">
        <v>0.89308714207154305</v>
      </c>
    </row>
    <row r="1142" spans="1:12">
      <c r="A1142" t="str">
        <f t="shared" si="17"/>
        <v>S0800001521</v>
      </c>
      <c r="B1142">
        <v>21</v>
      </c>
      <c r="C1142">
        <v>539</v>
      </c>
      <c r="D1142">
        <v>603.30007339764302</v>
      </c>
      <c r="E1142">
        <v>16795</v>
      </c>
      <c r="F1142">
        <v>0.89341941724700902</v>
      </c>
      <c r="G1142">
        <v>3.2092884787139</v>
      </c>
      <c r="H1142" t="s">
        <v>126</v>
      </c>
      <c r="I1142" t="s">
        <v>2</v>
      </c>
      <c r="J1142" t="s">
        <v>3</v>
      </c>
      <c r="K1142">
        <v>9</v>
      </c>
      <c r="L1142">
        <v>0.86160926445089703</v>
      </c>
    </row>
    <row r="1143" spans="1:12">
      <c r="A1143" t="str">
        <f t="shared" si="17"/>
        <v>S0800001621</v>
      </c>
      <c r="B1143">
        <v>21</v>
      </c>
      <c r="C1143">
        <v>152</v>
      </c>
      <c r="D1143">
        <v>163.66284561065399</v>
      </c>
      <c r="E1143">
        <v>4564</v>
      </c>
      <c r="F1143">
        <v>0.92873858714152402</v>
      </c>
      <c r="G1143">
        <v>3.3304119193689701</v>
      </c>
      <c r="H1143" t="s">
        <v>126</v>
      </c>
      <c r="I1143" t="s">
        <v>4</v>
      </c>
      <c r="J1143" t="s">
        <v>5</v>
      </c>
      <c r="K1143">
        <v>9</v>
      </c>
      <c r="L1143">
        <v>0.93799651103852999</v>
      </c>
    </row>
    <row r="1144" spans="1:12">
      <c r="A1144" t="str">
        <f t="shared" si="17"/>
        <v>S0800001721</v>
      </c>
      <c r="B1144">
        <v>21</v>
      </c>
      <c r="C1144">
        <v>221</v>
      </c>
      <c r="D1144">
        <v>231.113217589409</v>
      </c>
      <c r="E1144">
        <v>6977</v>
      </c>
      <c r="F1144">
        <v>0.95624128427230004</v>
      </c>
      <c r="G1144">
        <v>3.1675505231474799</v>
      </c>
      <c r="H1144" t="s">
        <v>126</v>
      </c>
      <c r="I1144" t="s">
        <v>6</v>
      </c>
      <c r="J1144" t="s">
        <v>7</v>
      </c>
      <c r="K1144">
        <v>9</v>
      </c>
      <c r="L1144">
        <v>0.98154931537549395</v>
      </c>
    </row>
    <row r="1145" spans="1:12">
      <c r="A1145" t="str">
        <f t="shared" si="17"/>
        <v>S0800001821</v>
      </c>
      <c r="B1145">
        <v>21</v>
      </c>
      <c r="C1145">
        <v>469</v>
      </c>
      <c r="D1145">
        <v>473.907294035387</v>
      </c>
      <c r="E1145">
        <v>11260</v>
      </c>
      <c r="F1145">
        <v>0.98964503374995405</v>
      </c>
      <c r="G1145">
        <v>4.1651865008881002</v>
      </c>
      <c r="H1145" t="s">
        <v>126</v>
      </c>
      <c r="I1145" t="s">
        <v>127</v>
      </c>
      <c r="J1145" t="s">
        <v>9</v>
      </c>
      <c r="K1145">
        <v>9</v>
      </c>
      <c r="L1145">
        <v>0.93175310241230203</v>
      </c>
    </row>
    <row r="1146" spans="1:12">
      <c r="A1146" t="str">
        <f t="shared" si="17"/>
        <v>S0800001921</v>
      </c>
      <c r="B1146">
        <v>21</v>
      </c>
      <c r="C1146">
        <v>360</v>
      </c>
      <c r="D1146">
        <v>342.03759833638998</v>
      </c>
      <c r="E1146">
        <v>8839</v>
      </c>
      <c r="F1146">
        <v>1.05251586887224</v>
      </c>
      <c r="G1146">
        <v>4.07285892069239</v>
      </c>
      <c r="H1146" t="s">
        <v>126</v>
      </c>
      <c r="I1146" t="s">
        <v>10</v>
      </c>
      <c r="J1146" t="s">
        <v>11</v>
      </c>
      <c r="K1146">
        <v>9</v>
      </c>
      <c r="L1146">
        <v>0.99608371532413698</v>
      </c>
    </row>
    <row r="1147" spans="1:12">
      <c r="A1147" t="str">
        <f t="shared" si="17"/>
        <v>S0800002021</v>
      </c>
      <c r="B1147">
        <v>21</v>
      </c>
      <c r="C1147">
        <v>650</v>
      </c>
      <c r="D1147">
        <v>638.63630019566301</v>
      </c>
      <c r="E1147">
        <v>22301</v>
      </c>
      <c r="F1147">
        <v>1.01779369541139</v>
      </c>
      <c r="G1147">
        <v>2.9146675036993899</v>
      </c>
      <c r="H1147" t="s">
        <v>126</v>
      </c>
      <c r="I1147" t="s">
        <v>12</v>
      </c>
      <c r="J1147" t="s">
        <v>13</v>
      </c>
      <c r="K1147">
        <v>9</v>
      </c>
      <c r="L1147">
        <v>0.97976358866289204</v>
      </c>
    </row>
    <row r="1148" spans="1:12">
      <c r="A1148" t="str">
        <f t="shared" si="17"/>
        <v>S0800002121</v>
      </c>
      <c r="B1148">
        <v>21</v>
      </c>
      <c r="C1148">
        <v>1730</v>
      </c>
      <c r="D1148">
        <v>1836.8379944109899</v>
      </c>
      <c r="E1148">
        <v>71523</v>
      </c>
      <c r="F1148">
        <v>0.94183591871679895</v>
      </c>
      <c r="G1148">
        <v>2.4188023433021502</v>
      </c>
      <c r="H1148" t="s">
        <v>126</v>
      </c>
      <c r="I1148" t="s">
        <v>14</v>
      </c>
      <c r="J1148" t="s">
        <v>15</v>
      </c>
      <c r="K1148">
        <v>9</v>
      </c>
      <c r="L1148">
        <v>0.91678468702557103</v>
      </c>
    </row>
    <row r="1149" spans="1:12">
      <c r="A1149" t="str">
        <f t="shared" si="17"/>
        <v>S0800002221</v>
      </c>
      <c r="B1149">
        <v>21</v>
      </c>
      <c r="C1149">
        <v>380</v>
      </c>
      <c r="D1149">
        <v>370.76846212127299</v>
      </c>
      <c r="E1149">
        <v>10696</v>
      </c>
      <c r="F1149">
        <v>1.02489839029434</v>
      </c>
      <c r="G1149">
        <v>3.55272999252057</v>
      </c>
      <c r="H1149" t="s">
        <v>126</v>
      </c>
      <c r="I1149" t="s">
        <v>16</v>
      </c>
      <c r="J1149" t="s">
        <v>17</v>
      </c>
      <c r="K1149">
        <v>9</v>
      </c>
      <c r="L1149">
        <v>0.95915624992968795</v>
      </c>
    </row>
    <row r="1150" spans="1:12">
      <c r="A1150" t="str">
        <f t="shared" si="17"/>
        <v>S0800002321</v>
      </c>
      <c r="B1150">
        <v>21</v>
      </c>
      <c r="C1150">
        <v>855</v>
      </c>
      <c r="D1150">
        <v>914.95913729061704</v>
      </c>
      <c r="E1150">
        <v>26383</v>
      </c>
      <c r="F1150">
        <v>0.93446796163141399</v>
      </c>
      <c r="G1150">
        <v>3.2407231929651701</v>
      </c>
      <c r="H1150" t="s">
        <v>126</v>
      </c>
      <c r="I1150" t="s">
        <v>18</v>
      </c>
      <c r="J1150" t="s">
        <v>19</v>
      </c>
      <c r="K1150">
        <v>9</v>
      </c>
      <c r="L1150">
        <v>0.88103832027863505</v>
      </c>
    </row>
    <row r="1151" spans="1:12">
      <c r="A1151" t="str">
        <f t="shared" si="17"/>
        <v>S0800002421</v>
      </c>
      <c r="B1151">
        <v>21</v>
      </c>
      <c r="C1151">
        <v>949</v>
      </c>
      <c r="D1151">
        <v>1064.28650716484</v>
      </c>
      <c r="E1151">
        <v>29865</v>
      </c>
      <c r="F1151">
        <v>0.89167718806099605</v>
      </c>
      <c r="G1151">
        <v>3.17763268039511</v>
      </c>
      <c r="H1151" t="s">
        <v>126</v>
      </c>
      <c r="I1151" t="s">
        <v>20</v>
      </c>
      <c r="J1151" t="s">
        <v>21</v>
      </c>
      <c r="K1151">
        <v>9</v>
      </c>
      <c r="L1151">
        <v>0.863296940745508</v>
      </c>
    </row>
    <row r="1152" spans="1:12">
      <c r="A1152" t="str">
        <f t="shared" ref="A1152:A1215" si="18">CONCATENATE(I1152, B1152)</f>
        <v>S0800002521</v>
      </c>
      <c r="B1152">
        <v>21</v>
      </c>
      <c r="C1152">
        <v>28</v>
      </c>
      <c r="D1152">
        <v>27.3963809451575</v>
      </c>
      <c r="E1152">
        <v>789</v>
      </c>
      <c r="F1152">
        <v>1.02203280265561</v>
      </c>
      <c r="G1152">
        <v>3.54879594423321</v>
      </c>
      <c r="H1152" t="s">
        <v>126</v>
      </c>
      <c r="I1152" t="s">
        <v>22</v>
      </c>
      <c r="J1152" t="s">
        <v>23</v>
      </c>
      <c r="K1152">
        <v>9</v>
      </c>
      <c r="L1152">
        <v>1.0380546836603299</v>
      </c>
    </row>
    <row r="1153" spans="1:12">
      <c r="A1153" t="str">
        <f t="shared" si="18"/>
        <v>S0800002621</v>
      </c>
      <c r="B1153">
        <v>21</v>
      </c>
      <c r="C1153">
        <v>23</v>
      </c>
      <c r="D1153">
        <v>22.287019248080298</v>
      </c>
      <c r="E1153">
        <v>880</v>
      </c>
      <c r="F1153">
        <v>1.0319908527911901</v>
      </c>
      <c r="G1153">
        <v>2.6136363636363602</v>
      </c>
      <c r="H1153" t="s">
        <v>126</v>
      </c>
      <c r="I1153" t="s">
        <v>24</v>
      </c>
      <c r="J1153" t="s">
        <v>25</v>
      </c>
      <c r="K1153">
        <v>9</v>
      </c>
      <c r="L1153">
        <v>1.0260637146268199</v>
      </c>
    </row>
    <row r="1154" spans="1:12">
      <c r="A1154" t="str">
        <f t="shared" si="18"/>
        <v>S0800002721</v>
      </c>
      <c r="B1154">
        <v>21</v>
      </c>
      <c r="C1154">
        <v>607</v>
      </c>
      <c r="D1154">
        <v>652.63234609838503</v>
      </c>
      <c r="E1154">
        <v>17041</v>
      </c>
      <c r="F1154">
        <v>0.93007955187757996</v>
      </c>
      <c r="G1154">
        <v>3.5619975353559101</v>
      </c>
      <c r="H1154" t="s">
        <v>126</v>
      </c>
      <c r="I1154" t="s">
        <v>128</v>
      </c>
      <c r="J1154" t="s">
        <v>27</v>
      </c>
      <c r="K1154">
        <v>9</v>
      </c>
      <c r="L1154">
        <v>0.91344435231763799</v>
      </c>
    </row>
    <row r="1155" spans="1:12">
      <c r="A1155" t="str">
        <f t="shared" si="18"/>
        <v>S0800002821</v>
      </c>
      <c r="B1155">
        <v>21</v>
      </c>
      <c r="C1155">
        <v>31</v>
      </c>
      <c r="D1155">
        <v>29.1896479121542</v>
      </c>
      <c r="E1155">
        <v>1243</v>
      </c>
      <c r="F1155">
        <v>1.06202034684673</v>
      </c>
      <c r="G1155">
        <v>2.49396621078037</v>
      </c>
      <c r="H1155" t="s">
        <v>126</v>
      </c>
      <c r="I1155" t="s">
        <v>28</v>
      </c>
      <c r="J1155" t="s">
        <v>29</v>
      </c>
      <c r="K1155">
        <v>9</v>
      </c>
      <c r="L1155">
        <v>1.0675618775723701</v>
      </c>
    </row>
    <row r="1156" spans="1:12">
      <c r="A1156" t="str">
        <f t="shared" si="18"/>
        <v>S0810000121</v>
      </c>
      <c r="B1156">
        <v>21</v>
      </c>
      <c r="C1156">
        <v>24</v>
      </c>
      <c r="D1156">
        <v>29.7596149459124</v>
      </c>
      <c r="E1156">
        <v>4815</v>
      </c>
      <c r="F1156">
        <v>0.80646204742969996</v>
      </c>
      <c r="G1156">
        <v>0.49844236760124599</v>
      </c>
      <c r="H1156" t="s">
        <v>126</v>
      </c>
      <c r="I1156" t="s">
        <v>30</v>
      </c>
      <c r="J1156" t="s">
        <v>129</v>
      </c>
      <c r="K1156">
        <v>9</v>
      </c>
      <c r="L1156">
        <v>0.90286719466330101</v>
      </c>
    </row>
    <row r="1157" spans="1:12">
      <c r="A1157" t="str">
        <f t="shared" si="18"/>
        <v>S0800001522</v>
      </c>
      <c r="B1157">
        <v>22</v>
      </c>
      <c r="C1157">
        <v>437</v>
      </c>
      <c r="D1157">
        <v>573.818651118449</v>
      </c>
      <c r="E1157">
        <v>16536</v>
      </c>
      <c r="F1157">
        <v>0.76156464964711201</v>
      </c>
      <c r="G1157">
        <v>2.6427189163038198</v>
      </c>
      <c r="H1157" t="s">
        <v>126</v>
      </c>
      <c r="I1157" t="s">
        <v>2</v>
      </c>
      <c r="J1157" t="s">
        <v>3</v>
      </c>
      <c r="K1157">
        <v>10</v>
      </c>
      <c r="L1157">
        <v>0.85286450000466496</v>
      </c>
    </row>
    <row r="1158" spans="1:12">
      <c r="A1158" t="str">
        <f t="shared" si="18"/>
        <v>S0800001622</v>
      </c>
      <c r="B1158">
        <v>22</v>
      </c>
      <c r="C1158">
        <v>152</v>
      </c>
      <c r="D1158">
        <v>165.89904834280199</v>
      </c>
      <c r="E1158">
        <v>4305</v>
      </c>
      <c r="F1158">
        <v>0.91621984284031599</v>
      </c>
      <c r="G1158">
        <v>3.5307781649245098</v>
      </c>
      <c r="H1158" t="s">
        <v>126</v>
      </c>
      <c r="I1158" t="s">
        <v>4</v>
      </c>
      <c r="J1158" t="s">
        <v>5</v>
      </c>
      <c r="K1158">
        <v>10</v>
      </c>
      <c r="L1158">
        <v>0.93769405215254897</v>
      </c>
    </row>
    <row r="1159" spans="1:12">
      <c r="A1159" t="str">
        <f t="shared" si="18"/>
        <v>S0800001722</v>
      </c>
      <c r="B1159">
        <v>22</v>
      </c>
      <c r="C1159">
        <v>201</v>
      </c>
      <c r="D1159">
        <v>212.89910988867501</v>
      </c>
      <c r="E1159">
        <v>7268</v>
      </c>
      <c r="F1159">
        <v>0.944109160931216</v>
      </c>
      <c r="G1159">
        <v>2.7655476059438602</v>
      </c>
      <c r="H1159" t="s">
        <v>126</v>
      </c>
      <c r="I1159" t="s">
        <v>6</v>
      </c>
      <c r="J1159" t="s">
        <v>7</v>
      </c>
      <c r="K1159">
        <v>10</v>
      </c>
      <c r="L1159">
        <v>0.97013776638915195</v>
      </c>
    </row>
    <row r="1160" spans="1:12">
      <c r="A1160" t="str">
        <f t="shared" si="18"/>
        <v>S0800001822</v>
      </c>
      <c r="B1160">
        <v>22</v>
      </c>
      <c r="C1160">
        <v>382</v>
      </c>
      <c r="D1160">
        <v>427.43704467551902</v>
      </c>
      <c r="E1160">
        <v>11476</v>
      </c>
      <c r="F1160">
        <v>0.89369886105680996</v>
      </c>
      <c r="G1160">
        <v>3.3286859532938302</v>
      </c>
      <c r="H1160" t="s">
        <v>126</v>
      </c>
      <c r="I1160" t="s">
        <v>127</v>
      </c>
      <c r="J1160" t="s">
        <v>9</v>
      </c>
      <c r="K1160">
        <v>10</v>
      </c>
      <c r="L1160">
        <v>0.928460171664927</v>
      </c>
    </row>
    <row r="1161" spans="1:12">
      <c r="A1161" t="str">
        <f t="shared" si="18"/>
        <v>S0800001922</v>
      </c>
      <c r="B1161">
        <v>22</v>
      </c>
      <c r="C1161">
        <v>285</v>
      </c>
      <c r="D1161">
        <v>330.41744905431199</v>
      </c>
      <c r="E1161">
        <v>8314</v>
      </c>
      <c r="F1161">
        <v>0.86254524637151897</v>
      </c>
      <c r="G1161">
        <v>3.42795285061342</v>
      </c>
      <c r="H1161" t="s">
        <v>126</v>
      </c>
      <c r="I1161" t="s">
        <v>10</v>
      </c>
      <c r="J1161" t="s">
        <v>11</v>
      </c>
      <c r="K1161">
        <v>10</v>
      </c>
      <c r="L1161">
        <v>0.98762890887126498</v>
      </c>
    </row>
    <row r="1162" spans="1:12">
      <c r="A1162" t="str">
        <f t="shared" si="18"/>
        <v>S0800002022</v>
      </c>
      <c r="B1162">
        <v>22</v>
      </c>
      <c r="C1162">
        <v>554</v>
      </c>
      <c r="D1162">
        <v>581.12318795762803</v>
      </c>
      <c r="E1162">
        <v>21939</v>
      </c>
      <c r="F1162">
        <v>0.953326267958858</v>
      </c>
      <c r="G1162">
        <v>2.5251834632389798</v>
      </c>
      <c r="H1162" t="s">
        <v>126</v>
      </c>
      <c r="I1162" t="s">
        <v>12</v>
      </c>
      <c r="J1162" t="s">
        <v>13</v>
      </c>
      <c r="K1162">
        <v>10</v>
      </c>
      <c r="L1162">
        <v>0.97862837930833002</v>
      </c>
    </row>
    <row r="1163" spans="1:12">
      <c r="A1163" t="str">
        <f t="shared" si="18"/>
        <v>S0800002122</v>
      </c>
      <c r="B1163">
        <v>22</v>
      </c>
      <c r="C1163">
        <v>1434</v>
      </c>
      <c r="D1163">
        <v>1727.0898620564101</v>
      </c>
      <c r="E1163">
        <v>69696</v>
      </c>
      <c r="F1163">
        <v>0.83029842945900001</v>
      </c>
      <c r="G1163">
        <v>2.0575068870523401</v>
      </c>
      <c r="H1163" t="s">
        <v>126</v>
      </c>
      <c r="I1163" t="s">
        <v>14</v>
      </c>
      <c r="J1163" t="s">
        <v>15</v>
      </c>
      <c r="K1163">
        <v>10</v>
      </c>
      <c r="L1163">
        <v>0.90997153853503299</v>
      </c>
    </row>
    <row r="1164" spans="1:12">
      <c r="A1164" t="str">
        <f t="shared" si="18"/>
        <v>S0800002222</v>
      </c>
      <c r="B1164">
        <v>22</v>
      </c>
      <c r="C1164">
        <v>264</v>
      </c>
      <c r="D1164">
        <v>337.60642371958198</v>
      </c>
      <c r="E1164">
        <v>10097</v>
      </c>
      <c r="F1164">
        <v>0.78197564220306304</v>
      </c>
      <c r="G1164">
        <v>2.6146380112904799</v>
      </c>
      <c r="H1164" t="s">
        <v>126</v>
      </c>
      <c r="I1164" t="s">
        <v>16</v>
      </c>
      <c r="J1164" t="s">
        <v>17</v>
      </c>
      <c r="K1164">
        <v>10</v>
      </c>
      <c r="L1164">
        <v>0.958711229158002</v>
      </c>
    </row>
    <row r="1165" spans="1:12">
      <c r="A1165" t="str">
        <f t="shared" si="18"/>
        <v>S0800002322</v>
      </c>
      <c r="B1165">
        <v>22</v>
      </c>
      <c r="C1165">
        <v>725</v>
      </c>
      <c r="D1165">
        <v>906.523998822164</v>
      </c>
      <c r="E1165">
        <v>26077</v>
      </c>
      <c r="F1165">
        <v>0.79975819828485994</v>
      </c>
      <c r="G1165">
        <v>2.78022778693868</v>
      </c>
      <c r="H1165" t="s">
        <v>126</v>
      </c>
      <c r="I1165" t="s">
        <v>18</v>
      </c>
      <c r="J1165" t="s">
        <v>19</v>
      </c>
      <c r="K1165">
        <v>10</v>
      </c>
      <c r="L1165">
        <v>0.86714583584773197</v>
      </c>
    </row>
    <row r="1166" spans="1:12">
      <c r="A1166" t="str">
        <f t="shared" si="18"/>
        <v>S0800002422</v>
      </c>
      <c r="B1166">
        <v>22</v>
      </c>
      <c r="C1166">
        <v>827</v>
      </c>
      <c r="D1166">
        <v>1000.52416476909</v>
      </c>
      <c r="E1166">
        <v>29884</v>
      </c>
      <c r="F1166">
        <v>0.82656674283410403</v>
      </c>
      <c r="G1166">
        <v>2.7673671529915702</v>
      </c>
      <c r="H1166" t="s">
        <v>126</v>
      </c>
      <c r="I1166" t="s">
        <v>20</v>
      </c>
      <c r="J1166" t="s">
        <v>21</v>
      </c>
      <c r="K1166">
        <v>10</v>
      </c>
      <c r="L1166">
        <v>0.85910789768302698</v>
      </c>
    </row>
    <row r="1167" spans="1:12">
      <c r="A1167" t="str">
        <f t="shared" si="18"/>
        <v>S0800002522</v>
      </c>
      <c r="B1167">
        <v>22</v>
      </c>
      <c r="C1167">
        <v>22</v>
      </c>
      <c r="D1167">
        <v>23.7248370324745</v>
      </c>
      <c r="E1167">
        <v>793</v>
      </c>
      <c r="F1167">
        <v>0.92729825582727898</v>
      </c>
      <c r="G1167">
        <v>2.77427490542245</v>
      </c>
      <c r="H1167" t="s">
        <v>126</v>
      </c>
      <c r="I1167" t="s">
        <v>22</v>
      </c>
      <c r="J1167" t="s">
        <v>23</v>
      </c>
      <c r="K1167">
        <v>10</v>
      </c>
      <c r="L1167">
        <v>1.0164550596603501</v>
      </c>
    </row>
    <row r="1168" spans="1:12">
      <c r="A1168" t="str">
        <f t="shared" si="18"/>
        <v>S0800002622</v>
      </c>
      <c r="B1168">
        <v>22</v>
      </c>
      <c r="C1168">
        <v>26</v>
      </c>
      <c r="D1168">
        <v>27.7130582141797</v>
      </c>
      <c r="E1168">
        <v>941</v>
      </c>
      <c r="F1168">
        <v>0.93818588331390895</v>
      </c>
      <c r="G1168">
        <v>2.76301806588735</v>
      </c>
      <c r="H1168" t="s">
        <v>126</v>
      </c>
      <c r="I1168" t="s">
        <v>24</v>
      </c>
      <c r="J1168" t="s">
        <v>25</v>
      </c>
      <c r="K1168">
        <v>10</v>
      </c>
      <c r="L1168">
        <v>1.0263766405125001</v>
      </c>
    </row>
    <row r="1169" spans="1:12">
      <c r="A1169" t="str">
        <f t="shared" si="18"/>
        <v>S0800002722</v>
      </c>
      <c r="B1169">
        <v>22</v>
      </c>
      <c r="C1169">
        <v>554</v>
      </c>
      <c r="D1169">
        <v>640.90389878930603</v>
      </c>
      <c r="E1169">
        <v>15926</v>
      </c>
      <c r="F1169">
        <v>0.86440416581414004</v>
      </c>
      <c r="G1169">
        <v>3.4785884716815301</v>
      </c>
      <c r="H1169" t="s">
        <v>126</v>
      </c>
      <c r="I1169" t="s">
        <v>128</v>
      </c>
      <c r="J1169" t="s">
        <v>27</v>
      </c>
      <c r="K1169">
        <v>10</v>
      </c>
      <c r="L1169">
        <v>0.90988313257459197</v>
      </c>
    </row>
    <row r="1170" spans="1:12">
      <c r="A1170" t="str">
        <f t="shared" si="18"/>
        <v>S0800002822</v>
      </c>
      <c r="B1170">
        <v>22</v>
      </c>
      <c r="C1170">
        <v>33</v>
      </c>
      <c r="D1170">
        <v>32.433730899310397</v>
      </c>
      <c r="E1170">
        <v>1284</v>
      </c>
      <c r="F1170">
        <v>1.0174592649377101</v>
      </c>
      <c r="G1170">
        <v>2.5700934579439201</v>
      </c>
      <c r="H1170" t="s">
        <v>126</v>
      </c>
      <c r="I1170" t="s">
        <v>28</v>
      </c>
      <c r="J1170" t="s">
        <v>29</v>
      </c>
      <c r="K1170">
        <v>10</v>
      </c>
      <c r="L1170">
        <v>1.04744524856904</v>
      </c>
    </row>
    <row r="1171" spans="1:12">
      <c r="A1171" t="str">
        <f t="shared" si="18"/>
        <v>S0810000122</v>
      </c>
      <c r="B1171">
        <v>22</v>
      </c>
      <c r="C1171">
        <v>22</v>
      </c>
      <c r="D1171">
        <v>29.490425437863699</v>
      </c>
      <c r="E1171">
        <v>5105</v>
      </c>
      <c r="F1171">
        <v>0.746004836259618</v>
      </c>
      <c r="G1171">
        <v>0.430950048971596</v>
      </c>
      <c r="H1171" t="s">
        <v>126</v>
      </c>
      <c r="I1171" t="s">
        <v>30</v>
      </c>
      <c r="J1171" t="s">
        <v>129</v>
      </c>
      <c r="K1171">
        <v>10</v>
      </c>
      <c r="L1171">
        <v>0.91264724725505797</v>
      </c>
    </row>
    <row r="1172" spans="1:12">
      <c r="A1172" t="str">
        <f t="shared" si="18"/>
        <v>S0800001523</v>
      </c>
      <c r="B1172">
        <v>23</v>
      </c>
      <c r="C1172">
        <v>457</v>
      </c>
      <c r="D1172">
        <v>591.99185100363297</v>
      </c>
      <c r="E1172">
        <v>16248</v>
      </c>
      <c r="F1172">
        <v>0.77197008577943405</v>
      </c>
      <c r="G1172">
        <v>2.8126538650910899</v>
      </c>
      <c r="H1172" t="s">
        <v>126</v>
      </c>
      <c r="I1172" t="s">
        <v>2</v>
      </c>
      <c r="J1172" t="s">
        <v>3</v>
      </c>
      <c r="K1172">
        <v>11</v>
      </c>
      <c r="L1172">
        <v>0.84411973555843201</v>
      </c>
    </row>
    <row r="1173" spans="1:12">
      <c r="A1173" t="str">
        <f t="shared" si="18"/>
        <v>S0800001623</v>
      </c>
      <c r="B1173">
        <v>23</v>
      </c>
      <c r="C1173">
        <v>134</v>
      </c>
      <c r="D1173">
        <v>145.832389963612</v>
      </c>
      <c r="E1173">
        <v>3926</v>
      </c>
      <c r="F1173">
        <v>0.91886308681792805</v>
      </c>
      <c r="G1173">
        <v>3.4131431482424901</v>
      </c>
      <c r="H1173" t="s">
        <v>126</v>
      </c>
      <c r="I1173" t="s">
        <v>4</v>
      </c>
      <c r="J1173" t="s">
        <v>5</v>
      </c>
      <c r="K1173">
        <v>11</v>
      </c>
      <c r="L1173">
        <v>0.93739159326656896</v>
      </c>
    </row>
    <row r="1174" spans="1:12">
      <c r="A1174" t="str">
        <f t="shared" si="18"/>
        <v>S0800001723</v>
      </c>
      <c r="B1174">
        <v>23</v>
      </c>
      <c r="C1174">
        <v>178</v>
      </c>
      <c r="D1174">
        <v>222.335456945868</v>
      </c>
      <c r="E1174">
        <v>7092</v>
      </c>
      <c r="F1174">
        <v>0.80059205331040695</v>
      </c>
      <c r="G1174">
        <v>2.5098702763677401</v>
      </c>
      <c r="H1174" t="s">
        <v>126</v>
      </c>
      <c r="I1174" t="s">
        <v>6</v>
      </c>
      <c r="J1174" t="s">
        <v>7</v>
      </c>
      <c r="K1174">
        <v>11</v>
      </c>
      <c r="L1174">
        <v>0.95872621740281005</v>
      </c>
    </row>
    <row r="1175" spans="1:12">
      <c r="A1175" t="str">
        <f t="shared" si="18"/>
        <v>S0800001823</v>
      </c>
      <c r="B1175">
        <v>23</v>
      </c>
      <c r="C1175">
        <v>400</v>
      </c>
      <c r="D1175">
        <v>435.28734874260698</v>
      </c>
      <c r="E1175">
        <v>11262</v>
      </c>
      <c r="F1175">
        <v>0.91893320850114402</v>
      </c>
      <c r="G1175">
        <v>3.5517670040845299</v>
      </c>
      <c r="H1175" t="s">
        <v>126</v>
      </c>
      <c r="I1175" t="s">
        <v>127</v>
      </c>
      <c r="J1175" t="s">
        <v>9</v>
      </c>
      <c r="K1175">
        <v>11</v>
      </c>
      <c r="L1175">
        <v>0.92516724091755298</v>
      </c>
    </row>
    <row r="1176" spans="1:12">
      <c r="A1176" t="str">
        <f t="shared" si="18"/>
        <v>S0800001923</v>
      </c>
      <c r="B1176">
        <v>23</v>
      </c>
      <c r="C1176">
        <v>302</v>
      </c>
      <c r="D1176">
        <v>311.19784429631602</v>
      </c>
      <c r="E1176">
        <v>8394</v>
      </c>
      <c r="F1176">
        <v>0.97044374032502001</v>
      </c>
      <c r="G1176">
        <v>3.59780795806528</v>
      </c>
      <c r="H1176" t="s">
        <v>126</v>
      </c>
      <c r="I1176" t="s">
        <v>10</v>
      </c>
      <c r="J1176" t="s">
        <v>11</v>
      </c>
      <c r="K1176">
        <v>11</v>
      </c>
      <c r="L1176">
        <v>0.97917410241839298</v>
      </c>
    </row>
    <row r="1177" spans="1:12">
      <c r="A1177" t="str">
        <f t="shared" si="18"/>
        <v>S0800002023</v>
      </c>
      <c r="B1177">
        <v>23</v>
      </c>
      <c r="C1177">
        <v>545</v>
      </c>
      <c r="D1177">
        <v>582.01311774669603</v>
      </c>
      <c r="E1177">
        <v>20994</v>
      </c>
      <c r="F1177">
        <v>0.936405011127592</v>
      </c>
      <c r="G1177">
        <v>2.5959798037534498</v>
      </c>
      <c r="H1177" t="s">
        <v>126</v>
      </c>
      <c r="I1177" t="s">
        <v>12</v>
      </c>
      <c r="J1177" t="s">
        <v>13</v>
      </c>
      <c r="K1177">
        <v>11</v>
      </c>
      <c r="L1177">
        <v>0.977493169953769</v>
      </c>
    </row>
    <row r="1178" spans="1:12">
      <c r="A1178" t="str">
        <f t="shared" si="18"/>
        <v>S0800002123</v>
      </c>
      <c r="B1178">
        <v>23</v>
      </c>
      <c r="C1178">
        <v>1473</v>
      </c>
      <c r="D1178">
        <v>1705.0638062657699</v>
      </c>
      <c r="E1178">
        <v>67357</v>
      </c>
      <c r="F1178">
        <v>0.86389728911435504</v>
      </c>
      <c r="G1178">
        <v>2.1868551152812601</v>
      </c>
      <c r="H1178" t="s">
        <v>126</v>
      </c>
      <c r="I1178" t="s">
        <v>14</v>
      </c>
      <c r="J1178" t="s">
        <v>15</v>
      </c>
      <c r="K1178">
        <v>11</v>
      </c>
      <c r="L1178">
        <v>0.90315839004449405</v>
      </c>
    </row>
    <row r="1179" spans="1:12">
      <c r="A1179" t="str">
        <f t="shared" si="18"/>
        <v>S0800002223</v>
      </c>
      <c r="B1179">
        <v>23</v>
      </c>
      <c r="C1179">
        <v>303</v>
      </c>
      <c r="D1179">
        <v>340.13593190632201</v>
      </c>
      <c r="E1179">
        <v>9702</v>
      </c>
      <c r="F1179">
        <v>0.890820320869394</v>
      </c>
      <c r="G1179">
        <v>3.1230674087816901</v>
      </c>
      <c r="H1179" t="s">
        <v>126</v>
      </c>
      <c r="I1179" t="s">
        <v>16</v>
      </c>
      <c r="J1179" t="s">
        <v>17</v>
      </c>
      <c r="K1179">
        <v>11</v>
      </c>
      <c r="L1179">
        <v>0.95826620838631504</v>
      </c>
    </row>
    <row r="1180" spans="1:12">
      <c r="A1180" t="str">
        <f t="shared" si="18"/>
        <v>S0800002323</v>
      </c>
      <c r="B1180">
        <v>23</v>
      </c>
      <c r="C1180">
        <v>675</v>
      </c>
      <c r="D1180">
        <v>886.26137819721203</v>
      </c>
      <c r="E1180">
        <v>25413</v>
      </c>
      <c r="F1180">
        <v>0.76162632898778804</v>
      </c>
      <c r="G1180">
        <v>2.6561208830126302</v>
      </c>
      <c r="H1180" t="s">
        <v>126</v>
      </c>
      <c r="I1180" t="s">
        <v>18</v>
      </c>
      <c r="J1180" t="s">
        <v>19</v>
      </c>
      <c r="K1180">
        <v>11</v>
      </c>
      <c r="L1180">
        <v>0.85325335141682901</v>
      </c>
    </row>
    <row r="1181" spans="1:12">
      <c r="A1181" t="str">
        <f t="shared" si="18"/>
        <v>S0800002423</v>
      </c>
      <c r="B1181">
        <v>23</v>
      </c>
      <c r="C1181">
        <v>828</v>
      </c>
      <c r="D1181">
        <v>977.34118771534497</v>
      </c>
      <c r="E1181">
        <v>28889</v>
      </c>
      <c r="F1181">
        <v>0.84719646568416096</v>
      </c>
      <c r="G1181">
        <v>2.86614282252761</v>
      </c>
      <c r="H1181" t="s">
        <v>126</v>
      </c>
      <c r="I1181" t="s">
        <v>20</v>
      </c>
      <c r="J1181" t="s">
        <v>21</v>
      </c>
      <c r="K1181">
        <v>11</v>
      </c>
      <c r="L1181">
        <v>0.85491885462054595</v>
      </c>
    </row>
    <row r="1182" spans="1:12">
      <c r="A1182" t="str">
        <f t="shared" si="18"/>
        <v>S0800002523</v>
      </c>
      <c r="B1182">
        <v>23</v>
      </c>
      <c r="C1182">
        <v>26</v>
      </c>
      <c r="D1182">
        <v>26.4888305104149</v>
      </c>
      <c r="E1182">
        <v>735</v>
      </c>
      <c r="F1182">
        <v>0.98154578737544695</v>
      </c>
      <c r="G1182">
        <v>3.5374149659863998</v>
      </c>
      <c r="H1182" t="s">
        <v>126</v>
      </c>
      <c r="I1182" t="s">
        <v>22</v>
      </c>
      <c r="J1182" t="s">
        <v>23</v>
      </c>
      <c r="K1182">
        <v>11</v>
      </c>
      <c r="L1182">
        <v>0.99485543566036905</v>
      </c>
    </row>
    <row r="1183" spans="1:12">
      <c r="A1183" t="str">
        <f t="shared" si="18"/>
        <v>S0800002623</v>
      </c>
      <c r="B1183">
        <v>23</v>
      </c>
      <c r="C1183">
        <v>20</v>
      </c>
      <c r="D1183">
        <v>20.646555561343799</v>
      </c>
      <c r="E1183">
        <v>867</v>
      </c>
      <c r="F1183">
        <v>0.96868457988438905</v>
      </c>
      <c r="G1183">
        <v>2.3068050749711699</v>
      </c>
      <c r="H1183" t="s">
        <v>126</v>
      </c>
      <c r="I1183" t="s">
        <v>24</v>
      </c>
      <c r="J1183" t="s">
        <v>25</v>
      </c>
      <c r="K1183">
        <v>11</v>
      </c>
      <c r="L1183">
        <v>1.0266895663981901</v>
      </c>
    </row>
    <row r="1184" spans="1:12">
      <c r="A1184" t="str">
        <f t="shared" si="18"/>
        <v>S0800002723</v>
      </c>
      <c r="B1184">
        <v>23</v>
      </c>
      <c r="C1184">
        <v>539</v>
      </c>
      <c r="D1184">
        <v>632.71680346104699</v>
      </c>
      <c r="E1184">
        <v>15690</v>
      </c>
      <c r="F1184">
        <v>0.85188191154652004</v>
      </c>
      <c r="G1184">
        <v>3.4353091140854</v>
      </c>
      <c r="H1184" t="s">
        <v>126</v>
      </c>
      <c r="I1184" t="s">
        <v>128</v>
      </c>
      <c r="J1184" t="s">
        <v>27</v>
      </c>
      <c r="K1184">
        <v>11</v>
      </c>
      <c r="L1184">
        <v>0.90632191283154495</v>
      </c>
    </row>
    <row r="1185" spans="1:12">
      <c r="A1185" t="str">
        <f t="shared" si="18"/>
        <v>S0800002823</v>
      </c>
      <c r="B1185">
        <v>23</v>
      </c>
      <c r="C1185">
        <v>25</v>
      </c>
      <c r="D1185">
        <v>29.8996400298951</v>
      </c>
      <c r="E1185">
        <v>1193</v>
      </c>
      <c r="F1185">
        <v>0.83613046762448595</v>
      </c>
      <c r="G1185">
        <v>2.0955574182732599</v>
      </c>
      <c r="H1185" t="s">
        <v>126</v>
      </c>
      <c r="I1185" t="s">
        <v>28</v>
      </c>
      <c r="J1185" t="s">
        <v>29</v>
      </c>
      <c r="K1185">
        <v>11</v>
      </c>
      <c r="L1185">
        <v>1.0273286195657201</v>
      </c>
    </row>
    <row r="1186" spans="1:12">
      <c r="A1186" t="str">
        <f t="shared" si="18"/>
        <v>S0810000123</v>
      </c>
      <c r="B1186">
        <v>23</v>
      </c>
      <c r="C1186">
        <v>28</v>
      </c>
      <c r="D1186">
        <v>28.420919624483801</v>
      </c>
      <c r="E1186">
        <v>5034</v>
      </c>
      <c r="F1186">
        <v>0.98518979575448995</v>
      </c>
      <c r="G1186">
        <v>0.55621771950734999</v>
      </c>
      <c r="H1186" t="s">
        <v>126</v>
      </c>
      <c r="I1186" t="s">
        <v>30</v>
      </c>
      <c r="J1186" t="s">
        <v>129</v>
      </c>
      <c r="K1186">
        <v>11</v>
      </c>
      <c r="L1186">
        <v>0.92242729984681604</v>
      </c>
    </row>
    <row r="1187" spans="1:12">
      <c r="A1187" t="str">
        <f t="shared" si="18"/>
        <v>S0800001524</v>
      </c>
      <c r="B1187">
        <v>24</v>
      </c>
      <c r="C1187">
        <v>559</v>
      </c>
      <c r="D1187">
        <v>638.45726088895299</v>
      </c>
      <c r="E1187">
        <v>16681</v>
      </c>
      <c r="F1187">
        <v>0.87554803468235098</v>
      </c>
      <c r="G1187">
        <v>3.3511180384868999</v>
      </c>
      <c r="H1187" t="s">
        <v>126</v>
      </c>
      <c r="I1187" t="s">
        <v>2</v>
      </c>
      <c r="J1187" t="s">
        <v>3</v>
      </c>
      <c r="K1187">
        <v>12</v>
      </c>
      <c r="L1187">
        <v>0.83537497111219905</v>
      </c>
    </row>
    <row r="1188" spans="1:12">
      <c r="A1188" t="str">
        <f t="shared" si="18"/>
        <v>S0800001624</v>
      </c>
      <c r="B1188">
        <v>24</v>
      </c>
      <c r="C1188">
        <v>155</v>
      </c>
      <c r="D1188">
        <v>166.47820459527699</v>
      </c>
      <c r="E1188">
        <v>4183</v>
      </c>
      <c r="F1188">
        <v>0.93105280884556996</v>
      </c>
      <c r="G1188">
        <v>3.7054745398039701</v>
      </c>
      <c r="H1188" t="s">
        <v>126</v>
      </c>
      <c r="I1188" t="s">
        <v>4</v>
      </c>
      <c r="J1188" t="s">
        <v>5</v>
      </c>
      <c r="K1188">
        <v>12</v>
      </c>
      <c r="L1188">
        <v>0.93708913438058805</v>
      </c>
    </row>
    <row r="1189" spans="1:12">
      <c r="A1189" t="str">
        <f t="shared" si="18"/>
        <v>S0800001724</v>
      </c>
      <c r="B1189">
        <v>24</v>
      </c>
      <c r="C1189">
        <v>254</v>
      </c>
      <c r="D1189">
        <v>249.65051853029499</v>
      </c>
      <c r="E1189">
        <v>7020</v>
      </c>
      <c r="F1189">
        <v>1.0174222809362099</v>
      </c>
      <c r="G1189">
        <v>3.6182336182336199</v>
      </c>
      <c r="H1189" t="s">
        <v>126</v>
      </c>
      <c r="I1189" t="s">
        <v>6</v>
      </c>
      <c r="J1189" t="s">
        <v>7</v>
      </c>
      <c r="K1189">
        <v>12</v>
      </c>
      <c r="L1189">
        <v>0.94731466841646905</v>
      </c>
    </row>
    <row r="1190" spans="1:12">
      <c r="A1190" t="str">
        <f t="shared" si="18"/>
        <v>S0800001824</v>
      </c>
      <c r="B1190">
        <v>24</v>
      </c>
      <c r="C1190">
        <v>465</v>
      </c>
      <c r="D1190">
        <v>470.74077418104901</v>
      </c>
      <c r="E1190">
        <v>11225</v>
      </c>
      <c r="F1190">
        <v>0.98780480787746505</v>
      </c>
      <c r="G1190">
        <v>4.1425389755011102</v>
      </c>
      <c r="H1190" t="s">
        <v>126</v>
      </c>
      <c r="I1190" t="s">
        <v>127</v>
      </c>
      <c r="J1190" t="s">
        <v>9</v>
      </c>
      <c r="K1190">
        <v>12</v>
      </c>
      <c r="L1190">
        <v>0.92187431017017896</v>
      </c>
    </row>
    <row r="1191" spans="1:12">
      <c r="A1191" t="str">
        <f t="shared" si="18"/>
        <v>S0800001924</v>
      </c>
      <c r="B1191">
        <v>24</v>
      </c>
      <c r="C1191">
        <v>362</v>
      </c>
      <c r="D1191">
        <v>352.90364902772802</v>
      </c>
      <c r="E1191">
        <v>8780</v>
      </c>
      <c r="F1191">
        <v>1.0257757350974801</v>
      </c>
      <c r="G1191">
        <v>4.1230068337129797</v>
      </c>
      <c r="H1191" t="s">
        <v>126</v>
      </c>
      <c r="I1191" t="s">
        <v>10</v>
      </c>
      <c r="J1191" t="s">
        <v>11</v>
      </c>
      <c r="K1191">
        <v>12</v>
      </c>
      <c r="L1191">
        <v>0.97071929596552098</v>
      </c>
    </row>
    <row r="1192" spans="1:12">
      <c r="A1192" t="str">
        <f t="shared" si="18"/>
        <v>S0800002024</v>
      </c>
      <c r="B1192">
        <v>24</v>
      </c>
      <c r="C1192">
        <v>585</v>
      </c>
      <c r="D1192">
        <v>640.52803409893204</v>
      </c>
      <c r="E1192">
        <v>21224</v>
      </c>
      <c r="F1192">
        <v>0.91330897143784395</v>
      </c>
      <c r="G1192">
        <v>2.75631360723709</v>
      </c>
      <c r="H1192" t="s">
        <v>126</v>
      </c>
      <c r="I1192" t="s">
        <v>12</v>
      </c>
      <c r="J1192" t="s">
        <v>13</v>
      </c>
      <c r="K1192">
        <v>12</v>
      </c>
      <c r="L1192">
        <v>0.97635796059920799</v>
      </c>
    </row>
    <row r="1193" spans="1:12">
      <c r="A1193" t="str">
        <f t="shared" si="18"/>
        <v>S0800002124</v>
      </c>
      <c r="B1193">
        <v>24</v>
      </c>
      <c r="C1193">
        <v>1670</v>
      </c>
      <c r="D1193">
        <v>1844.3576067215599</v>
      </c>
      <c r="E1193">
        <v>67881</v>
      </c>
      <c r="F1193">
        <v>0.90546431663461702</v>
      </c>
      <c r="G1193">
        <v>2.4601876813836001</v>
      </c>
      <c r="H1193" t="s">
        <v>126</v>
      </c>
      <c r="I1193" t="s">
        <v>14</v>
      </c>
      <c r="J1193" t="s">
        <v>15</v>
      </c>
      <c r="K1193">
        <v>12</v>
      </c>
      <c r="L1193">
        <v>0.89634524155395601</v>
      </c>
    </row>
    <row r="1194" spans="1:12">
      <c r="A1194" t="str">
        <f t="shared" si="18"/>
        <v>S0800002224</v>
      </c>
      <c r="B1194">
        <v>24</v>
      </c>
      <c r="C1194">
        <v>357</v>
      </c>
      <c r="D1194">
        <v>348.26647641162901</v>
      </c>
      <c r="E1194">
        <v>9399</v>
      </c>
      <c r="F1194">
        <v>1.0250771296690899</v>
      </c>
      <c r="G1194">
        <v>3.7982764123843</v>
      </c>
      <c r="H1194" t="s">
        <v>126</v>
      </c>
      <c r="I1194" t="s">
        <v>16</v>
      </c>
      <c r="J1194" t="s">
        <v>17</v>
      </c>
      <c r="K1194">
        <v>12</v>
      </c>
      <c r="L1194">
        <v>0.95782118761462798</v>
      </c>
    </row>
    <row r="1195" spans="1:12">
      <c r="A1195" t="str">
        <f t="shared" si="18"/>
        <v>S0800002324</v>
      </c>
      <c r="B1195">
        <v>24</v>
      </c>
      <c r="C1195">
        <v>839</v>
      </c>
      <c r="D1195">
        <v>960.83564371988405</v>
      </c>
      <c r="E1195">
        <v>25878</v>
      </c>
      <c r="F1195">
        <v>0.87319824725881701</v>
      </c>
      <c r="G1195">
        <v>3.24213617744803</v>
      </c>
      <c r="H1195" t="s">
        <v>126</v>
      </c>
      <c r="I1195" t="s">
        <v>18</v>
      </c>
      <c r="J1195" t="s">
        <v>19</v>
      </c>
      <c r="K1195">
        <v>12</v>
      </c>
      <c r="L1195">
        <v>0.83936086698592505</v>
      </c>
    </row>
    <row r="1196" spans="1:12">
      <c r="A1196" t="str">
        <f t="shared" si="18"/>
        <v>S0800002424</v>
      </c>
      <c r="B1196">
        <v>24</v>
      </c>
      <c r="C1196">
        <v>908</v>
      </c>
      <c r="D1196">
        <v>1044.66671828568</v>
      </c>
      <c r="E1196">
        <v>29083</v>
      </c>
      <c r="F1196">
        <v>0.869176727952092</v>
      </c>
      <c r="G1196">
        <v>3.1220988206168601</v>
      </c>
      <c r="H1196" t="s">
        <v>126</v>
      </c>
      <c r="I1196" t="s">
        <v>20</v>
      </c>
      <c r="J1196" t="s">
        <v>21</v>
      </c>
      <c r="K1196">
        <v>12</v>
      </c>
      <c r="L1196">
        <v>0.85072981155806504</v>
      </c>
    </row>
    <row r="1197" spans="1:12">
      <c r="A1197" t="str">
        <f t="shared" si="18"/>
        <v>S0800002524</v>
      </c>
      <c r="B1197">
        <v>24</v>
      </c>
      <c r="C1197">
        <v>24</v>
      </c>
      <c r="D1197">
        <v>23.3464190755037</v>
      </c>
      <c r="E1197">
        <v>710</v>
      </c>
      <c r="F1197">
        <v>1.02799491101323</v>
      </c>
      <c r="G1197">
        <v>3.3802816901408401</v>
      </c>
      <c r="H1197" t="s">
        <v>126</v>
      </c>
      <c r="I1197" t="s">
        <v>22</v>
      </c>
      <c r="J1197" t="s">
        <v>23</v>
      </c>
      <c r="K1197">
        <v>12</v>
      </c>
      <c r="L1197">
        <v>0.97325581166039099</v>
      </c>
    </row>
    <row r="1198" spans="1:12">
      <c r="A1198" t="str">
        <f t="shared" si="18"/>
        <v>S0800002624</v>
      </c>
      <c r="B1198">
        <v>24</v>
      </c>
      <c r="C1198">
        <v>31</v>
      </c>
      <c r="D1198">
        <v>21.747011201939401</v>
      </c>
      <c r="E1198">
        <v>852</v>
      </c>
      <c r="F1198">
        <v>1.42548324053079</v>
      </c>
      <c r="G1198">
        <v>3.63849765258216</v>
      </c>
      <c r="H1198" t="s">
        <v>126</v>
      </c>
      <c r="I1198" t="s">
        <v>24</v>
      </c>
      <c r="J1198" t="s">
        <v>25</v>
      </c>
      <c r="K1198">
        <v>12</v>
      </c>
      <c r="L1198">
        <v>1.0270024922838701</v>
      </c>
    </row>
    <row r="1199" spans="1:12">
      <c r="A1199" t="str">
        <f t="shared" si="18"/>
        <v>S0800002724</v>
      </c>
      <c r="B1199">
        <v>24</v>
      </c>
      <c r="C1199">
        <v>636</v>
      </c>
      <c r="D1199">
        <v>703.14245188661403</v>
      </c>
      <c r="E1199">
        <v>16438</v>
      </c>
      <c r="F1199">
        <v>0.90451088295627302</v>
      </c>
      <c r="G1199">
        <v>3.8690838301496502</v>
      </c>
      <c r="H1199" t="s">
        <v>126</v>
      </c>
      <c r="I1199" t="s">
        <v>128</v>
      </c>
      <c r="J1199" t="s">
        <v>27</v>
      </c>
      <c r="K1199">
        <v>12</v>
      </c>
      <c r="L1199">
        <v>0.90276069308849904</v>
      </c>
    </row>
    <row r="1200" spans="1:12">
      <c r="A1200" t="str">
        <f t="shared" si="18"/>
        <v>S0800002824</v>
      </c>
      <c r="B1200">
        <v>24</v>
      </c>
      <c r="C1200">
        <v>37</v>
      </c>
      <c r="D1200">
        <v>31.0711338552413</v>
      </c>
      <c r="E1200">
        <v>1197</v>
      </c>
      <c r="F1200">
        <v>1.19081589273121</v>
      </c>
      <c r="G1200">
        <v>3.0910609857978302</v>
      </c>
      <c r="H1200" t="s">
        <v>126</v>
      </c>
      <c r="I1200" t="s">
        <v>28</v>
      </c>
      <c r="J1200" t="s">
        <v>29</v>
      </c>
      <c r="K1200">
        <v>12</v>
      </c>
      <c r="L1200">
        <v>1.00721199056239</v>
      </c>
    </row>
    <row r="1201" spans="1:12">
      <c r="A1201" t="str">
        <f t="shared" si="18"/>
        <v>S0810000124</v>
      </c>
      <c r="B1201">
        <v>24</v>
      </c>
      <c r="C1201">
        <v>28</v>
      </c>
      <c r="D1201">
        <v>27.300079480304198</v>
      </c>
      <c r="E1201">
        <v>4891</v>
      </c>
      <c r="F1201">
        <v>1.0256380396328399</v>
      </c>
      <c r="G1201">
        <v>0.57248006542629304</v>
      </c>
      <c r="H1201" t="s">
        <v>126</v>
      </c>
      <c r="I1201" t="s">
        <v>30</v>
      </c>
      <c r="J1201" t="s">
        <v>129</v>
      </c>
      <c r="K1201">
        <v>12</v>
      </c>
      <c r="L1201">
        <v>0.932207352438574</v>
      </c>
    </row>
    <row r="1202" spans="1:12">
      <c r="A1202" t="str">
        <f t="shared" si="18"/>
        <v>S0800001525</v>
      </c>
      <c r="B1202">
        <v>25</v>
      </c>
      <c r="C1202">
        <v>546</v>
      </c>
      <c r="D1202">
        <v>669.83770890223798</v>
      </c>
      <c r="E1202">
        <v>16865</v>
      </c>
      <c r="F1202">
        <v>0.81512281668168696</v>
      </c>
      <c r="G1202">
        <v>3.2374740587014501</v>
      </c>
      <c r="H1202" t="s">
        <v>126</v>
      </c>
      <c r="I1202" t="s">
        <v>2</v>
      </c>
      <c r="J1202" t="s">
        <v>3</v>
      </c>
      <c r="K1202">
        <v>13</v>
      </c>
      <c r="L1202">
        <v>0.82663020666596598</v>
      </c>
    </row>
    <row r="1203" spans="1:12">
      <c r="A1203" t="str">
        <f t="shared" si="18"/>
        <v>S0800001625</v>
      </c>
      <c r="B1203">
        <v>25</v>
      </c>
      <c r="C1203">
        <v>158</v>
      </c>
      <c r="D1203">
        <v>160.80654230011501</v>
      </c>
      <c r="E1203">
        <v>3923</v>
      </c>
      <c r="F1203">
        <v>0.98254708881882802</v>
      </c>
      <c r="G1203">
        <v>4.0275299515676801</v>
      </c>
      <c r="H1203" t="s">
        <v>126</v>
      </c>
      <c r="I1203" t="s">
        <v>4</v>
      </c>
      <c r="J1203" t="s">
        <v>5</v>
      </c>
      <c r="K1203">
        <v>13</v>
      </c>
      <c r="L1203">
        <v>0.93678667549460704</v>
      </c>
    </row>
    <row r="1204" spans="1:12">
      <c r="A1204" t="str">
        <f t="shared" si="18"/>
        <v>S0800001725</v>
      </c>
      <c r="B1204">
        <v>25</v>
      </c>
      <c r="C1204">
        <v>251</v>
      </c>
      <c r="D1204">
        <v>249.324794941931</v>
      </c>
      <c r="E1204">
        <v>7253</v>
      </c>
      <c r="F1204">
        <v>1.0067189669541701</v>
      </c>
      <c r="G1204">
        <v>3.4606369778022898</v>
      </c>
      <c r="H1204" t="s">
        <v>126</v>
      </c>
      <c r="I1204" t="s">
        <v>6</v>
      </c>
      <c r="J1204" t="s">
        <v>7</v>
      </c>
      <c r="K1204">
        <v>13</v>
      </c>
      <c r="L1204">
        <v>0.93590311943012705</v>
      </c>
    </row>
    <row r="1205" spans="1:12">
      <c r="A1205" t="str">
        <f t="shared" si="18"/>
        <v>S0800001825</v>
      </c>
      <c r="B1205">
        <v>25</v>
      </c>
      <c r="C1205">
        <v>480</v>
      </c>
      <c r="D1205">
        <v>466.11633097404501</v>
      </c>
      <c r="E1205">
        <v>11339</v>
      </c>
      <c r="F1205">
        <v>1.0297858455140201</v>
      </c>
      <c r="G1205">
        <v>4.2331775288826199</v>
      </c>
      <c r="H1205" t="s">
        <v>126</v>
      </c>
      <c r="I1205" t="s">
        <v>127</v>
      </c>
      <c r="J1205" t="s">
        <v>9</v>
      </c>
      <c r="K1205">
        <v>13</v>
      </c>
      <c r="L1205">
        <v>0.91858137942280504</v>
      </c>
    </row>
    <row r="1206" spans="1:12">
      <c r="A1206" t="str">
        <f t="shared" si="18"/>
        <v>S0800001925</v>
      </c>
      <c r="B1206">
        <v>25</v>
      </c>
      <c r="C1206">
        <v>303</v>
      </c>
      <c r="D1206">
        <v>347.15181341369401</v>
      </c>
      <c r="E1206">
        <v>9072</v>
      </c>
      <c r="F1206">
        <v>0.87281698753196701</v>
      </c>
      <c r="G1206">
        <v>3.3399470899470902</v>
      </c>
      <c r="H1206" t="s">
        <v>126</v>
      </c>
      <c r="I1206" t="s">
        <v>10</v>
      </c>
      <c r="J1206" t="s">
        <v>11</v>
      </c>
      <c r="K1206">
        <v>13</v>
      </c>
      <c r="L1206">
        <v>0.96226448951264898</v>
      </c>
    </row>
    <row r="1207" spans="1:12">
      <c r="A1207" t="str">
        <f t="shared" si="18"/>
        <v>S0800002025</v>
      </c>
      <c r="B1207">
        <v>25</v>
      </c>
      <c r="C1207">
        <v>647</v>
      </c>
      <c r="D1207">
        <v>654.08923766978501</v>
      </c>
      <c r="E1207">
        <v>20643</v>
      </c>
      <c r="F1207">
        <v>0.98916166592949895</v>
      </c>
      <c r="G1207">
        <v>3.1342343651601001</v>
      </c>
      <c r="H1207" t="s">
        <v>126</v>
      </c>
      <c r="I1207" t="s">
        <v>12</v>
      </c>
      <c r="J1207" t="s">
        <v>13</v>
      </c>
      <c r="K1207">
        <v>13</v>
      </c>
      <c r="L1207">
        <v>0.97522275124464597</v>
      </c>
    </row>
    <row r="1208" spans="1:12">
      <c r="A1208" t="str">
        <f t="shared" si="18"/>
        <v>S0800002125</v>
      </c>
      <c r="B1208">
        <v>25</v>
      </c>
      <c r="C1208">
        <v>1721</v>
      </c>
      <c r="D1208">
        <v>1845.96942179858</v>
      </c>
      <c r="E1208">
        <v>66881</v>
      </c>
      <c r="F1208">
        <v>0.93230146701085703</v>
      </c>
      <c r="G1208">
        <v>2.57322707495402</v>
      </c>
      <c r="H1208" t="s">
        <v>126</v>
      </c>
      <c r="I1208" t="s">
        <v>14</v>
      </c>
      <c r="J1208" t="s">
        <v>15</v>
      </c>
      <c r="K1208">
        <v>13</v>
      </c>
      <c r="L1208">
        <v>0.88953209306341796</v>
      </c>
    </row>
    <row r="1209" spans="1:12">
      <c r="A1209" t="str">
        <f t="shared" si="18"/>
        <v>S0800002225</v>
      </c>
      <c r="B1209">
        <v>25</v>
      </c>
      <c r="C1209">
        <v>340</v>
      </c>
      <c r="D1209">
        <v>357.34184810630398</v>
      </c>
      <c r="E1209">
        <v>9491</v>
      </c>
      <c r="F1209">
        <v>0.95146986506560705</v>
      </c>
      <c r="G1209">
        <v>3.5823411653145101</v>
      </c>
      <c r="H1209" t="s">
        <v>126</v>
      </c>
      <c r="I1209" t="s">
        <v>16</v>
      </c>
      <c r="J1209" t="s">
        <v>17</v>
      </c>
      <c r="K1209">
        <v>13</v>
      </c>
      <c r="L1209">
        <v>0.95737616684294102</v>
      </c>
    </row>
    <row r="1210" spans="1:12">
      <c r="A1210" t="str">
        <f t="shared" si="18"/>
        <v>S0800002325</v>
      </c>
      <c r="B1210">
        <v>25</v>
      </c>
      <c r="C1210">
        <v>861</v>
      </c>
      <c r="D1210">
        <v>984.35524648372302</v>
      </c>
      <c r="E1210">
        <v>26035</v>
      </c>
      <c r="F1210">
        <v>0.87468421901100502</v>
      </c>
      <c r="G1210">
        <v>3.30708661417323</v>
      </c>
      <c r="H1210" t="s">
        <v>126</v>
      </c>
      <c r="I1210" t="s">
        <v>18</v>
      </c>
      <c r="J1210" t="s">
        <v>19</v>
      </c>
      <c r="K1210">
        <v>13</v>
      </c>
      <c r="L1210">
        <v>0.82546838255502197</v>
      </c>
    </row>
    <row r="1211" spans="1:12">
      <c r="A1211" t="str">
        <f t="shared" si="18"/>
        <v>S0800002425</v>
      </c>
      <c r="B1211">
        <v>25</v>
      </c>
      <c r="C1211">
        <v>900</v>
      </c>
      <c r="D1211">
        <v>1043.4522190676901</v>
      </c>
      <c r="E1211">
        <v>29077</v>
      </c>
      <c r="F1211">
        <v>0.86252152571407703</v>
      </c>
      <c r="G1211">
        <v>3.0952299067991902</v>
      </c>
      <c r="H1211" t="s">
        <v>126</v>
      </c>
      <c r="I1211" t="s">
        <v>20</v>
      </c>
      <c r="J1211" t="s">
        <v>21</v>
      </c>
      <c r="K1211">
        <v>13</v>
      </c>
      <c r="L1211">
        <v>0.84654076849558402</v>
      </c>
    </row>
    <row r="1212" spans="1:12">
      <c r="A1212" t="str">
        <f t="shared" si="18"/>
        <v>S0800002525</v>
      </c>
      <c r="B1212">
        <v>25</v>
      </c>
      <c r="C1212">
        <v>38</v>
      </c>
      <c r="D1212">
        <v>32.630403038832803</v>
      </c>
      <c r="E1212">
        <v>721</v>
      </c>
      <c r="F1212">
        <v>1.1645580949391601</v>
      </c>
      <c r="G1212">
        <v>5.2704576976421604</v>
      </c>
      <c r="H1212" t="s">
        <v>126</v>
      </c>
      <c r="I1212" t="s">
        <v>22</v>
      </c>
      <c r="J1212" t="s">
        <v>23</v>
      </c>
      <c r="K1212">
        <v>13</v>
      </c>
      <c r="L1212">
        <v>0.95165618766041205</v>
      </c>
    </row>
    <row r="1213" spans="1:12">
      <c r="A1213" t="str">
        <f t="shared" si="18"/>
        <v>S0800002625</v>
      </c>
      <c r="B1213">
        <v>25</v>
      </c>
      <c r="C1213">
        <v>19</v>
      </c>
      <c r="D1213">
        <v>18.401009991789</v>
      </c>
      <c r="E1213">
        <v>895</v>
      </c>
      <c r="F1213">
        <v>1.03255201798587</v>
      </c>
      <c r="G1213">
        <v>2.1229050279329602</v>
      </c>
      <c r="H1213" t="s">
        <v>126</v>
      </c>
      <c r="I1213" t="s">
        <v>24</v>
      </c>
      <c r="J1213" t="s">
        <v>25</v>
      </c>
      <c r="K1213">
        <v>13</v>
      </c>
      <c r="L1213">
        <v>1.0273154181695501</v>
      </c>
    </row>
    <row r="1214" spans="1:12">
      <c r="A1214" t="str">
        <f t="shared" si="18"/>
        <v>S0800002725</v>
      </c>
      <c r="B1214">
        <v>25</v>
      </c>
      <c r="C1214">
        <v>593</v>
      </c>
      <c r="D1214">
        <v>674.239637856267</v>
      </c>
      <c r="E1214">
        <v>16233</v>
      </c>
      <c r="F1214">
        <v>0.87950925265300794</v>
      </c>
      <c r="G1214">
        <v>3.6530524240744202</v>
      </c>
      <c r="H1214" t="s">
        <v>126</v>
      </c>
      <c r="I1214" t="s">
        <v>128</v>
      </c>
      <c r="J1214" t="s">
        <v>27</v>
      </c>
      <c r="K1214">
        <v>13</v>
      </c>
      <c r="L1214">
        <v>0.89919947334545303</v>
      </c>
    </row>
    <row r="1215" spans="1:12">
      <c r="A1215" t="str">
        <f t="shared" si="18"/>
        <v>S0800002825</v>
      </c>
      <c r="B1215">
        <v>25</v>
      </c>
      <c r="C1215">
        <v>29</v>
      </c>
      <c r="D1215">
        <v>28.811634631641901</v>
      </c>
      <c r="E1215">
        <v>1234</v>
      </c>
      <c r="F1215">
        <v>1.0065378230276201</v>
      </c>
      <c r="G1215">
        <v>2.3500810372771501</v>
      </c>
      <c r="H1215" t="s">
        <v>126</v>
      </c>
      <c r="I1215" t="s">
        <v>28</v>
      </c>
      <c r="J1215" t="s">
        <v>29</v>
      </c>
      <c r="K1215">
        <v>13</v>
      </c>
      <c r="L1215">
        <v>0.98709536155906896</v>
      </c>
    </row>
    <row r="1216" spans="1:12">
      <c r="A1216" t="str">
        <f t="shared" ref="A1216:A1279" si="19">CONCATENATE(I1216, B1216)</f>
        <v>S0810000125</v>
      </c>
      <c r="B1216">
        <v>25</v>
      </c>
      <c r="C1216">
        <v>26</v>
      </c>
      <c r="D1216">
        <v>27.9428351596362</v>
      </c>
      <c r="E1216">
        <v>5123</v>
      </c>
      <c r="F1216">
        <v>0.93047107966901499</v>
      </c>
      <c r="G1216">
        <v>0.50751512785477304</v>
      </c>
      <c r="H1216" t="s">
        <v>126</v>
      </c>
      <c r="I1216" t="s">
        <v>30</v>
      </c>
      <c r="J1216" t="s">
        <v>129</v>
      </c>
      <c r="K1216">
        <v>13</v>
      </c>
      <c r="L1216">
        <v>0.94198740503033196</v>
      </c>
    </row>
    <row r="1217" spans="1:12">
      <c r="A1217" t="str">
        <f t="shared" si="19"/>
        <v>S0800001526</v>
      </c>
      <c r="B1217">
        <v>26</v>
      </c>
      <c r="C1217">
        <v>452</v>
      </c>
      <c r="D1217">
        <v>603.15490904710998</v>
      </c>
      <c r="E1217">
        <v>16358</v>
      </c>
      <c r="F1217">
        <v>0.74939288932272596</v>
      </c>
      <c r="G1217">
        <v>2.7631739821494099</v>
      </c>
      <c r="H1217" t="s">
        <v>126</v>
      </c>
      <c r="I1217" t="s">
        <v>2</v>
      </c>
      <c r="J1217" t="s">
        <v>3</v>
      </c>
      <c r="K1217">
        <v>14</v>
      </c>
      <c r="L1217">
        <v>0.81788544221973403</v>
      </c>
    </row>
    <row r="1218" spans="1:12">
      <c r="A1218" t="str">
        <f t="shared" si="19"/>
        <v>S0800001626</v>
      </c>
      <c r="B1218">
        <v>26</v>
      </c>
      <c r="C1218">
        <v>147</v>
      </c>
      <c r="D1218">
        <v>163.91135011315799</v>
      </c>
      <c r="E1218">
        <v>4043</v>
      </c>
      <c r="F1218">
        <v>0.89682624112678699</v>
      </c>
      <c r="G1218">
        <v>3.6359139253029902</v>
      </c>
      <c r="H1218" t="s">
        <v>126</v>
      </c>
      <c r="I1218" t="s">
        <v>4</v>
      </c>
      <c r="J1218" t="s">
        <v>5</v>
      </c>
      <c r="K1218">
        <v>14</v>
      </c>
      <c r="L1218">
        <v>0.93648421660862702</v>
      </c>
    </row>
    <row r="1219" spans="1:12">
      <c r="A1219" t="str">
        <f t="shared" si="19"/>
        <v>S0800001726</v>
      </c>
      <c r="B1219">
        <v>26</v>
      </c>
      <c r="C1219">
        <v>199</v>
      </c>
      <c r="D1219">
        <v>231.706778873356</v>
      </c>
      <c r="E1219">
        <v>6998</v>
      </c>
      <c r="F1219">
        <v>0.85884410014938295</v>
      </c>
      <c r="G1219">
        <v>2.8436696198914002</v>
      </c>
      <c r="H1219" t="s">
        <v>126</v>
      </c>
      <c r="I1219" t="s">
        <v>6</v>
      </c>
      <c r="J1219" t="s">
        <v>7</v>
      </c>
      <c r="K1219">
        <v>14</v>
      </c>
      <c r="L1219">
        <v>0.92449157044378505</v>
      </c>
    </row>
    <row r="1220" spans="1:12">
      <c r="A1220" t="str">
        <f t="shared" si="19"/>
        <v>S0800001826</v>
      </c>
      <c r="B1220">
        <v>26</v>
      </c>
      <c r="C1220">
        <v>420</v>
      </c>
      <c r="D1220">
        <v>462.72692575074399</v>
      </c>
      <c r="E1220">
        <v>11739</v>
      </c>
      <c r="F1220">
        <v>0.90766276312660499</v>
      </c>
      <c r="G1220">
        <v>3.5778175313059002</v>
      </c>
      <c r="H1220" t="s">
        <v>126</v>
      </c>
      <c r="I1220" t="s">
        <v>127</v>
      </c>
      <c r="J1220" t="s">
        <v>9</v>
      </c>
      <c r="K1220">
        <v>14</v>
      </c>
      <c r="L1220">
        <v>0.91528844867543102</v>
      </c>
    </row>
    <row r="1221" spans="1:12">
      <c r="A1221" t="str">
        <f t="shared" si="19"/>
        <v>S0800001926</v>
      </c>
      <c r="B1221">
        <v>26</v>
      </c>
      <c r="C1221">
        <v>297</v>
      </c>
      <c r="D1221">
        <v>332.58225230892702</v>
      </c>
      <c r="E1221">
        <v>8850</v>
      </c>
      <c r="F1221">
        <v>0.89301217349422701</v>
      </c>
      <c r="G1221">
        <v>3.35593220338983</v>
      </c>
      <c r="H1221" t="s">
        <v>126</v>
      </c>
      <c r="I1221" t="s">
        <v>10</v>
      </c>
      <c r="J1221" t="s">
        <v>11</v>
      </c>
      <c r="K1221">
        <v>14</v>
      </c>
      <c r="L1221">
        <v>0.95380968305977698</v>
      </c>
    </row>
    <row r="1222" spans="1:12">
      <c r="A1222" t="str">
        <f t="shared" si="19"/>
        <v>S0800002026</v>
      </c>
      <c r="B1222">
        <v>26</v>
      </c>
      <c r="C1222">
        <v>578</v>
      </c>
      <c r="D1222">
        <v>615.59782914970106</v>
      </c>
      <c r="E1222">
        <v>20578</v>
      </c>
      <c r="F1222">
        <v>0.93892468853954103</v>
      </c>
      <c r="G1222">
        <v>2.8088249586937502</v>
      </c>
      <c r="H1222" t="s">
        <v>126</v>
      </c>
      <c r="I1222" t="s">
        <v>12</v>
      </c>
      <c r="J1222" t="s">
        <v>13</v>
      </c>
      <c r="K1222">
        <v>14</v>
      </c>
      <c r="L1222">
        <v>0.97408754189008495</v>
      </c>
    </row>
    <row r="1223" spans="1:12">
      <c r="A1223" t="str">
        <f t="shared" si="19"/>
        <v>S0800002126</v>
      </c>
      <c r="B1223">
        <v>26</v>
      </c>
      <c r="C1223">
        <v>1530</v>
      </c>
      <c r="D1223">
        <v>1792.38969128505</v>
      </c>
      <c r="E1223">
        <v>63699</v>
      </c>
      <c r="F1223">
        <v>0.853609015628221</v>
      </c>
      <c r="G1223">
        <v>2.40192153722978</v>
      </c>
      <c r="H1223" t="s">
        <v>126</v>
      </c>
      <c r="I1223" t="s">
        <v>14</v>
      </c>
      <c r="J1223" t="s">
        <v>15</v>
      </c>
      <c r="K1223">
        <v>14</v>
      </c>
      <c r="L1223">
        <v>0.88271894457288003</v>
      </c>
    </row>
    <row r="1224" spans="1:12">
      <c r="A1224" t="str">
        <f t="shared" si="19"/>
        <v>S0800002226</v>
      </c>
      <c r="B1224">
        <v>26</v>
      </c>
      <c r="C1224">
        <v>310</v>
      </c>
      <c r="D1224">
        <v>349.80864918465397</v>
      </c>
      <c r="E1224">
        <v>9377</v>
      </c>
      <c r="F1224">
        <v>0.88619878531465401</v>
      </c>
      <c r="G1224">
        <v>3.30596139490242</v>
      </c>
      <c r="H1224" t="s">
        <v>126</v>
      </c>
      <c r="I1224" t="s">
        <v>16</v>
      </c>
      <c r="J1224" t="s">
        <v>17</v>
      </c>
      <c r="K1224">
        <v>14</v>
      </c>
      <c r="L1224">
        <v>0.95693114607125396</v>
      </c>
    </row>
    <row r="1225" spans="1:12">
      <c r="A1225" t="str">
        <f t="shared" si="19"/>
        <v>S0800002326</v>
      </c>
      <c r="B1225">
        <v>26</v>
      </c>
      <c r="C1225">
        <v>735</v>
      </c>
      <c r="D1225">
        <v>923.54442754085596</v>
      </c>
      <c r="E1225">
        <v>25959</v>
      </c>
      <c r="F1225">
        <v>0.79584693284014796</v>
      </c>
      <c r="G1225">
        <v>2.8313879579336598</v>
      </c>
      <c r="H1225" t="s">
        <v>126</v>
      </c>
      <c r="I1225" t="s">
        <v>18</v>
      </c>
      <c r="J1225" t="s">
        <v>19</v>
      </c>
      <c r="K1225">
        <v>14</v>
      </c>
      <c r="L1225">
        <v>0.81157589812411901</v>
      </c>
    </row>
    <row r="1226" spans="1:12">
      <c r="A1226" t="str">
        <f t="shared" si="19"/>
        <v>S0800002426</v>
      </c>
      <c r="B1226">
        <v>26</v>
      </c>
      <c r="C1226">
        <v>802</v>
      </c>
      <c r="D1226">
        <v>1040.51268929343</v>
      </c>
      <c r="E1226">
        <v>29489</v>
      </c>
      <c r="F1226">
        <v>0.77077387738981296</v>
      </c>
      <c r="G1226">
        <v>2.7196581776255599</v>
      </c>
      <c r="H1226" t="s">
        <v>126</v>
      </c>
      <c r="I1226" t="s">
        <v>20</v>
      </c>
      <c r="J1226" t="s">
        <v>21</v>
      </c>
      <c r="K1226">
        <v>14</v>
      </c>
      <c r="L1226">
        <v>0.84235172543310299</v>
      </c>
    </row>
    <row r="1227" spans="1:12">
      <c r="A1227" t="str">
        <f t="shared" si="19"/>
        <v>S0800002526</v>
      </c>
      <c r="B1227">
        <v>26</v>
      </c>
      <c r="C1227">
        <v>33</v>
      </c>
      <c r="D1227">
        <v>28.2797517642123</v>
      </c>
      <c r="E1227">
        <v>708</v>
      </c>
      <c r="F1227">
        <v>1.1669126474356499</v>
      </c>
      <c r="G1227">
        <v>4.6610169491525397</v>
      </c>
      <c r="H1227" t="s">
        <v>126</v>
      </c>
      <c r="I1227" t="s">
        <v>22</v>
      </c>
      <c r="J1227" t="s">
        <v>23</v>
      </c>
      <c r="K1227">
        <v>14</v>
      </c>
      <c r="L1227">
        <v>0.93005656366043299</v>
      </c>
    </row>
    <row r="1228" spans="1:12">
      <c r="A1228" t="str">
        <f t="shared" si="19"/>
        <v>S0800002626</v>
      </c>
      <c r="B1228">
        <v>26</v>
      </c>
      <c r="C1228">
        <v>15</v>
      </c>
      <c r="D1228">
        <v>16.0416732845651</v>
      </c>
      <c r="E1228">
        <v>927</v>
      </c>
      <c r="F1228">
        <v>0.935064549309368</v>
      </c>
      <c r="G1228">
        <v>1.61812297734628</v>
      </c>
      <c r="H1228" t="s">
        <v>126</v>
      </c>
      <c r="I1228" t="s">
        <v>24</v>
      </c>
      <c r="J1228" t="s">
        <v>25</v>
      </c>
      <c r="K1228">
        <v>14</v>
      </c>
      <c r="L1228">
        <v>1.0276283440552301</v>
      </c>
    </row>
    <row r="1229" spans="1:12">
      <c r="A1229" t="str">
        <f t="shared" si="19"/>
        <v>S0800002726</v>
      </c>
      <c r="B1229">
        <v>26</v>
      </c>
      <c r="C1229">
        <v>567</v>
      </c>
      <c r="D1229">
        <v>636.90057279160101</v>
      </c>
      <c r="E1229">
        <v>15819</v>
      </c>
      <c r="F1229">
        <v>0.89024884608720101</v>
      </c>
      <c r="G1229">
        <v>3.58429736392945</v>
      </c>
      <c r="H1229" t="s">
        <v>126</v>
      </c>
      <c r="I1229" t="s">
        <v>128</v>
      </c>
      <c r="J1229" t="s">
        <v>27</v>
      </c>
      <c r="K1229">
        <v>14</v>
      </c>
      <c r="L1229">
        <v>0.89563825360240601</v>
      </c>
    </row>
    <row r="1230" spans="1:12">
      <c r="A1230" t="str">
        <f t="shared" si="19"/>
        <v>S0800002826</v>
      </c>
      <c r="B1230">
        <v>26</v>
      </c>
      <c r="C1230">
        <v>25</v>
      </c>
      <c r="D1230">
        <v>26.115931371827301</v>
      </c>
      <c r="E1230">
        <v>1213</v>
      </c>
      <c r="F1230">
        <v>0.95727009096711302</v>
      </c>
      <c r="G1230">
        <v>2.06100577081616</v>
      </c>
      <c r="H1230" t="s">
        <v>126</v>
      </c>
      <c r="I1230" t="s">
        <v>28</v>
      </c>
      <c r="J1230" t="s">
        <v>29</v>
      </c>
      <c r="K1230">
        <v>14</v>
      </c>
      <c r="L1230">
        <v>0.96697873255574396</v>
      </c>
    </row>
    <row r="1231" spans="1:12">
      <c r="A1231" t="str">
        <f t="shared" si="19"/>
        <v>S0810000126</v>
      </c>
      <c r="B1231">
        <v>26</v>
      </c>
      <c r="C1231">
        <v>28</v>
      </c>
      <c r="D1231">
        <v>25.5128330924937</v>
      </c>
      <c r="E1231">
        <v>5000</v>
      </c>
      <c r="F1231">
        <v>1.09748689604519</v>
      </c>
      <c r="G1231">
        <v>0.56000000000000005</v>
      </c>
      <c r="H1231" t="s">
        <v>126</v>
      </c>
      <c r="I1231" t="s">
        <v>30</v>
      </c>
      <c r="J1231" t="s">
        <v>129</v>
      </c>
      <c r="K1231">
        <v>14</v>
      </c>
      <c r="L1231">
        <v>0.95176745762208903</v>
      </c>
    </row>
    <row r="1232" spans="1:12">
      <c r="A1232" t="str">
        <f t="shared" si="19"/>
        <v>S0800001527</v>
      </c>
      <c r="B1232">
        <v>27</v>
      </c>
      <c r="C1232">
        <v>472</v>
      </c>
      <c r="D1232">
        <v>633.00895571105195</v>
      </c>
      <c r="E1232">
        <v>16446</v>
      </c>
      <c r="F1232">
        <v>0.74564505879669296</v>
      </c>
      <c r="G1232">
        <v>2.8699987838988199</v>
      </c>
      <c r="H1232" t="s">
        <v>126</v>
      </c>
      <c r="I1232" t="s">
        <v>2</v>
      </c>
      <c r="J1232" t="s">
        <v>3</v>
      </c>
      <c r="K1232">
        <v>15</v>
      </c>
      <c r="L1232">
        <v>0.80914067777350096</v>
      </c>
    </row>
    <row r="1233" spans="1:12">
      <c r="A1233" t="str">
        <f t="shared" si="19"/>
        <v>S0800001627</v>
      </c>
      <c r="B1233">
        <v>27</v>
      </c>
      <c r="C1233">
        <v>123</v>
      </c>
      <c r="D1233">
        <v>144.66217125719101</v>
      </c>
      <c r="E1233">
        <v>3858</v>
      </c>
      <c r="F1233">
        <v>0.85025683584771705</v>
      </c>
      <c r="G1233">
        <v>3.1881804043545898</v>
      </c>
      <c r="H1233" t="s">
        <v>126</v>
      </c>
      <c r="I1233" t="s">
        <v>4</v>
      </c>
      <c r="J1233" t="s">
        <v>5</v>
      </c>
      <c r="K1233">
        <v>15</v>
      </c>
      <c r="L1233">
        <v>0.936181757722646</v>
      </c>
    </row>
    <row r="1234" spans="1:12">
      <c r="A1234" t="str">
        <f t="shared" si="19"/>
        <v>S0800001727</v>
      </c>
      <c r="B1234">
        <v>27</v>
      </c>
      <c r="C1234">
        <v>207</v>
      </c>
      <c r="D1234">
        <v>236.97774303269699</v>
      </c>
      <c r="E1234">
        <v>6744</v>
      </c>
      <c r="F1234">
        <v>0.87349975297654403</v>
      </c>
      <c r="G1234">
        <v>3.0693950177935898</v>
      </c>
      <c r="H1234" t="s">
        <v>126</v>
      </c>
      <c r="I1234" t="s">
        <v>6</v>
      </c>
      <c r="J1234" t="s">
        <v>7</v>
      </c>
      <c r="K1234">
        <v>15</v>
      </c>
      <c r="L1234">
        <v>0.91308002145744305</v>
      </c>
    </row>
    <row r="1235" spans="1:12">
      <c r="A1235" t="str">
        <f t="shared" si="19"/>
        <v>S0800001827</v>
      </c>
      <c r="B1235">
        <v>27</v>
      </c>
      <c r="C1235">
        <v>371</v>
      </c>
      <c r="D1235">
        <v>441.29768924095703</v>
      </c>
      <c r="E1235">
        <v>11683</v>
      </c>
      <c r="F1235">
        <v>0.84070234004199995</v>
      </c>
      <c r="G1235">
        <v>3.1755542240862802</v>
      </c>
      <c r="H1235" t="s">
        <v>126</v>
      </c>
      <c r="I1235" t="s">
        <v>127</v>
      </c>
      <c r="J1235" t="s">
        <v>9</v>
      </c>
      <c r="K1235">
        <v>15</v>
      </c>
      <c r="L1235">
        <v>0.911995517928057</v>
      </c>
    </row>
    <row r="1236" spans="1:12">
      <c r="A1236" t="str">
        <f t="shared" si="19"/>
        <v>S0800001927</v>
      </c>
      <c r="B1236">
        <v>27</v>
      </c>
      <c r="C1236">
        <v>295</v>
      </c>
      <c r="D1236">
        <v>316.11610435511801</v>
      </c>
      <c r="E1236">
        <v>8424</v>
      </c>
      <c r="F1236">
        <v>0.93320142800634798</v>
      </c>
      <c r="G1236">
        <v>3.5018993352326699</v>
      </c>
      <c r="H1236" t="s">
        <v>126</v>
      </c>
      <c r="I1236" t="s">
        <v>10</v>
      </c>
      <c r="J1236" t="s">
        <v>11</v>
      </c>
      <c r="K1236">
        <v>15</v>
      </c>
      <c r="L1236">
        <v>0.94535487660690498</v>
      </c>
    </row>
    <row r="1237" spans="1:12">
      <c r="A1237" t="str">
        <f t="shared" si="19"/>
        <v>S0800002027</v>
      </c>
      <c r="B1237">
        <v>27</v>
      </c>
      <c r="C1237">
        <v>560</v>
      </c>
      <c r="D1237">
        <v>596.09619776215197</v>
      </c>
      <c r="E1237">
        <v>20060</v>
      </c>
      <c r="F1237">
        <v>0.93944568360331304</v>
      </c>
      <c r="G1237">
        <v>2.7916251246261199</v>
      </c>
      <c r="H1237" t="s">
        <v>126</v>
      </c>
      <c r="I1237" t="s">
        <v>12</v>
      </c>
      <c r="J1237" t="s">
        <v>13</v>
      </c>
      <c r="K1237">
        <v>15</v>
      </c>
      <c r="L1237">
        <v>0.97295233253552305</v>
      </c>
    </row>
    <row r="1238" spans="1:12">
      <c r="A1238" t="str">
        <f t="shared" si="19"/>
        <v>S0800002127</v>
      </c>
      <c r="B1238">
        <v>27</v>
      </c>
      <c r="C1238">
        <v>1444</v>
      </c>
      <c r="D1238">
        <v>1763.13907351895</v>
      </c>
      <c r="E1238">
        <v>63466</v>
      </c>
      <c r="F1238">
        <v>0.81899381715703501</v>
      </c>
      <c r="G1238">
        <v>2.2752339835502502</v>
      </c>
      <c r="H1238" t="s">
        <v>126</v>
      </c>
      <c r="I1238" t="s">
        <v>14</v>
      </c>
      <c r="J1238" t="s">
        <v>15</v>
      </c>
      <c r="K1238">
        <v>15</v>
      </c>
      <c r="L1238">
        <v>0.87590579608234098</v>
      </c>
    </row>
    <row r="1239" spans="1:12">
      <c r="A1239" t="str">
        <f t="shared" si="19"/>
        <v>S0800002227</v>
      </c>
      <c r="B1239">
        <v>27</v>
      </c>
      <c r="C1239">
        <v>357</v>
      </c>
      <c r="D1239">
        <v>337.66965915232402</v>
      </c>
      <c r="E1239">
        <v>10004</v>
      </c>
      <c r="F1239">
        <v>1.0572463066305799</v>
      </c>
      <c r="G1239">
        <v>3.5685725709716101</v>
      </c>
      <c r="H1239" t="s">
        <v>126</v>
      </c>
      <c r="I1239" t="s">
        <v>16</v>
      </c>
      <c r="J1239" t="s">
        <v>17</v>
      </c>
      <c r="K1239">
        <v>15</v>
      </c>
      <c r="L1239">
        <v>0.956486125299567</v>
      </c>
    </row>
    <row r="1240" spans="1:12">
      <c r="A1240" t="str">
        <f t="shared" si="19"/>
        <v>S0800002327</v>
      </c>
      <c r="B1240">
        <v>27</v>
      </c>
      <c r="C1240">
        <v>715</v>
      </c>
      <c r="D1240">
        <v>934.39789158111603</v>
      </c>
      <c r="E1240">
        <v>25344</v>
      </c>
      <c r="F1240">
        <v>0.76519864443415297</v>
      </c>
      <c r="G1240">
        <v>2.8211805555555598</v>
      </c>
      <c r="H1240" t="s">
        <v>126</v>
      </c>
      <c r="I1240" t="s">
        <v>18</v>
      </c>
      <c r="J1240" t="s">
        <v>19</v>
      </c>
      <c r="K1240">
        <v>15</v>
      </c>
      <c r="L1240">
        <v>0.79768341369321605</v>
      </c>
    </row>
    <row r="1241" spans="1:12">
      <c r="A1241" t="str">
        <f t="shared" si="19"/>
        <v>S0800002427</v>
      </c>
      <c r="B1241">
        <v>27</v>
      </c>
      <c r="C1241">
        <v>863</v>
      </c>
      <c r="D1241">
        <v>1033.13458047412</v>
      </c>
      <c r="E1241">
        <v>29121</v>
      </c>
      <c r="F1241">
        <v>0.83532195738134896</v>
      </c>
      <c r="G1241">
        <v>2.9634971326534099</v>
      </c>
      <c r="H1241" t="s">
        <v>126</v>
      </c>
      <c r="I1241" t="s">
        <v>20</v>
      </c>
      <c r="J1241" t="s">
        <v>21</v>
      </c>
      <c r="K1241">
        <v>15</v>
      </c>
      <c r="L1241">
        <v>0.83816268237062197</v>
      </c>
    </row>
    <row r="1242" spans="1:12">
      <c r="A1242" t="str">
        <f t="shared" si="19"/>
        <v>S0800002527</v>
      </c>
      <c r="B1242">
        <v>27</v>
      </c>
      <c r="C1242">
        <v>18</v>
      </c>
      <c r="D1242">
        <v>22.620150181200302</v>
      </c>
      <c r="E1242">
        <v>667</v>
      </c>
      <c r="F1242">
        <v>0.79575068493399603</v>
      </c>
      <c r="G1242">
        <v>2.6986506746626699</v>
      </c>
      <c r="H1242" t="s">
        <v>126</v>
      </c>
      <c r="I1242" t="s">
        <v>22</v>
      </c>
      <c r="J1242" t="s">
        <v>23</v>
      </c>
      <c r="K1242">
        <v>15</v>
      </c>
      <c r="L1242">
        <v>0.90845693966045404</v>
      </c>
    </row>
    <row r="1243" spans="1:12">
      <c r="A1243" t="str">
        <f t="shared" si="19"/>
        <v>S0800002627</v>
      </c>
      <c r="B1243">
        <v>27</v>
      </c>
      <c r="C1243">
        <v>13</v>
      </c>
      <c r="D1243">
        <v>18.947722637900998</v>
      </c>
      <c r="E1243">
        <v>916</v>
      </c>
      <c r="F1243">
        <v>0.68609828465592004</v>
      </c>
      <c r="G1243">
        <v>1.4192139737991301</v>
      </c>
      <c r="H1243" t="s">
        <v>126</v>
      </c>
      <c r="I1243" t="s">
        <v>24</v>
      </c>
      <c r="J1243" t="s">
        <v>25</v>
      </c>
      <c r="K1243">
        <v>15</v>
      </c>
      <c r="L1243">
        <v>1.0279412699409101</v>
      </c>
    </row>
    <row r="1244" spans="1:12">
      <c r="A1244" t="str">
        <f t="shared" si="19"/>
        <v>S0800002727</v>
      </c>
      <c r="B1244">
        <v>27</v>
      </c>
      <c r="C1244">
        <v>556</v>
      </c>
      <c r="D1244">
        <v>637.95428179778105</v>
      </c>
      <c r="E1244">
        <v>15479</v>
      </c>
      <c r="F1244">
        <v>0.87153580728883795</v>
      </c>
      <c r="G1244">
        <v>3.5919633051230702</v>
      </c>
      <c r="H1244" t="s">
        <v>126</v>
      </c>
      <c r="I1244" t="s">
        <v>128</v>
      </c>
      <c r="J1244" t="s">
        <v>27</v>
      </c>
      <c r="K1244">
        <v>15</v>
      </c>
      <c r="L1244">
        <v>0.89207703385935999</v>
      </c>
    </row>
    <row r="1245" spans="1:12">
      <c r="A1245" t="str">
        <f t="shared" si="19"/>
        <v>S0800002827</v>
      </c>
      <c r="B1245">
        <v>27</v>
      </c>
      <c r="C1245">
        <v>26</v>
      </c>
      <c r="D1245">
        <v>29.1340091352392</v>
      </c>
      <c r="E1245">
        <v>1152</v>
      </c>
      <c r="F1245">
        <v>0.89242781106125102</v>
      </c>
      <c r="G1245">
        <v>2.2569444444444402</v>
      </c>
      <c r="H1245" t="s">
        <v>126</v>
      </c>
      <c r="I1245" t="s">
        <v>28</v>
      </c>
      <c r="J1245" t="s">
        <v>29</v>
      </c>
      <c r="K1245">
        <v>15</v>
      </c>
      <c r="L1245">
        <v>0.94686210355241895</v>
      </c>
    </row>
    <row r="1246" spans="1:12">
      <c r="A1246" t="str">
        <f t="shared" si="19"/>
        <v>S0810000127</v>
      </c>
      <c r="B1246">
        <v>27</v>
      </c>
      <c r="C1246">
        <v>22</v>
      </c>
      <c r="D1246">
        <v>25.0076335416909</v>
      </c>
      <c r="E1246">
        <v>5213</v>
      </c>
      <c r="F1246">
        <v>0.87973138135294704</v>
      </c>
      <c r="G1246">
        <v>0.422021868405908</v>
      </c>
      <c r="H1246" t="s">
        <v>126</v>
      </c>
      <c r="I1246" t="s">
        <v>30</v>
      </c>
      <c r="J1246" t="s">
        <v>129</v>
      </c>
      <c r="K1246">
        <v>15</v>
      </c>
      <c r="L1246">
        <v>0.96154751021384699</v>
      </c>
    </row>
    <row r="1247" spans="1:12">
      <c r="A1247" t="str">
        <f t="shared" si="19"/>
        <v>S0800001528</v>
      </c>
      <c r="B1247">
        <v>28</v>
      </c>
      <c r="C1247">
        <v>601</v>
      </c>
      <c r="D1247">
        <v>675.51162653176004</v>
      </c>
      <c r="E1247">
        <v>17282</v>
      </c>
      <c r="F1247">
        <v>0.88969601172622204</v>
      </c>
      <c r="G1247">
        <v>3.4776067584770298</v>
      </c>
      <c r="H1247" t="s">
        <v>126</v>
      </c>
      <c r="I1247" t="s">
        <v>2</v>
      </c>
      <c r="J1247" t="s">
        <v>3</v>
      </c>
      <c r="K1247">
        <v>16</v>
      </c>
      <c r="L1247">
        <v>0.800395913327269</v>
      </c>
    </row>
    <row r="1248" spans="1:12">
      <c r="A1248" t="str">
        <f t="shared" si="19"/>
        <v>S0800001628</v>
      </c>
      <c r="B1248">
        <v>28</v>
      </c>
      <c r="C1248">
        <v>166</v>
      </c>
      <c r="D1248">
        <v>188.827236094912</v>
      </c>
      <c r="E1248">
        <v>4021</v>
      </c>
      <c r="F1248">
        <v>0.87911046855847297</v>
      </c>
      <c r="G1248">
        <v>4.1283262869932802</v>
      </c>
      <c r="H1248" t="s">
        <v>126</v>
      </c>
      <c r="I1248" t="s">
        <v>4</v>
      </c>
      <c r="J1248" t="s">
        <v>5</v>
      </c>
      <c r="K1248">
        <v>16</v>
      </c>
      <c r="L1248">
        <v>0.93587929883666499</v>
      </c>
    </row>
    <row r="1249" spans="1:12">
      <c r="A1249" t="str">
        <f t="shared" si="19"/>
        <v>S0800001728</v>
      </c>
      <c r="B1249">
        <v>28</v>
      </c>
      <c r="C1249">
        <v>244</v>
      </c>
      <c r="D1249">
        <v>265.55696672668802</v>
      </c>
      <c r="E1249">
        <v>6626</v>
      </c>
      <c r="F1249">
        <v>0.918823569223567</v>
      </c>
      <c r="G1249">
        <v>3.6824630244491399</v>
      </c>
      <c r="H1249" t="s">
        <v>126</v>
      </c>
      <c r="I1249" t="s">
        <v>6</v>
      </c>
      <c r="J1249" t="s">
        <v>7</v>
      </c>
      <c r="K1249">
        <v>16</v>
      </c>
      <c r="L1249">
        <v>0.90166847247110204</v>
      </c>
    </row>
    <row r="1250" spans="1:12">
      <c r="A1250" t="str">
        <f t="shared" si="19"/>
        <v>S0800001828</v>
      </c>
      <c r="B1250">
        <v>28</v>
      </c>
      <c r="C1250">
        <v>481</v>
      </c>
      <c r="D1250">
        <v>514.02038333357802</v>
      </c>
      <c r="E1250">
        <v>12191</v>
      </c>
      <c r="F1250">
        <v>0.93576055657670498</v>
      </c>
      <c r="G1250">
        <v>3.94553359035354</v>
      </c>
      <c r="H1250" t="s">
        <v>126</v>
      </c>
      <c r="I1250" t="s">
        <v>127</v>
      </c>
      <c r="J1250" t="s">
        <v>9</v>
      </c>
      <c r="K1250">
        <v>16</v>
      </c>
      <c r="L1250">
        <v>0.90870258718068198</v>
      </c>
    </row>
    <row r="1251" spans="1:12">
      <c r="A1251" t="str">
        <f t="shared" si="19"/>
        <v>S0800001928</v>
      </c>
      <c r="B1251">
        <v>28</v>
      </c>
      <c r="C1251">
        <v>394</v>
      </c>
      <c r="D1251">
        <v>381.53124122979199</v>
      </c>
      <c r="E1251">
        <v>8928</v>
      </c>
      <c r="F1251">
        <v>1.0326808329771799</v>
      </c>
      <c r="G1251">
        <v>4.4130824372759898</v>
      </c>
      <c r="H1251" t="s">
        <v>126</v>
      </c>
      <c r="I1251" t="s">
        <v>10</v>
      </c>
      <c r="J1251" t="s">
        <v>11</v>
      </c>
      <c r="K1251">
        <v>16</v>
      </c>
      <c r="L1251">
        <v>0.93690007015403298</v>
      </c>
    </row>
    <row r="1252" spans="1:12">
      <c r="A1252" t="str">
        <f t="shared" si="19"/>
        <v>S0800002028</v>
      </c>
      <c r="B1252">
        <v>28</v>
      </c>
      <c r="C1252">
        <v>667</v>
      </c>
      <c r="D1252">
        <v>678.66852419822499</v>
      </c>
      <c r="E1252">
        <v>20001</v>
      </c>
      <c r="F1252">
        <v>0.9828067402831</v>
      </c>
      <c r="G1252">
        <v>3.3348332583370799</v>
      </c>
      <c r="H1252" t="s">
        <v>126</v>
      </c>
      <c r="I1252" t="s">
        <v>12</v>
      </c>
      <c r="J1252" t="s">
        <v>13</v>
      </c>
      <c r="K1252">
        <v>16</v>
      </c>
      <c r="L1252">
        <v>0.97181712318096103</v>
      </c>
    </row>
    <row r="1253" spans="1:12">
      <c r="A1253" t="str">
        <f t="shared" si="19"/>
        <v>S0800002128</v>
      </c>
      <c r="B1253">
        <v>28</v>
      </c>
      <c r="C1253">
        <v>1880</v>
      </c>
      <c r="D1253">
        <v>1956.9660001728701</v>
      </c>
      <c r="E1253">
        <v>65811</v>
      </c>
      <c r="F1253">
        <v>0.960670752498473</v>
      </c>
      <c r="G1253">
        <v>2.8566652991141299</v>
      </c>
      <c r="H1253" t="s">
        <v>126</v>
      </c>
      <c r="I1253" t="s">
        <v>14</v>
      </c>
      <c r="J1253" t="s">
        <v>15</v>
      </c>
      <c r="K1253">
        <v>16</v>
      </c>
      <c r="L1253">
        <v>0.86909264759180305</v>
      </c>
    </row>
    <row r="1254" spans="1:12">
      <c r="A1254" t="str">
        <f t="shared" si="19"/>
        <v>S0800002228</v>
      </c>
      <c r="B1254">
        <v>28</v>
      </c>
      <c r="C1254">
        <v>326</v>
      </c>
      <c r="D1254">
        <v>372.20674071289102</v>
      </c>
      <c r="E1254">
        <v>10051</v>
      </c>
      <c r="F1254">
        <v>0.87585732428061203</v>
      </c>
      <c r="G1254">
        <v>3.2434583623519999</v>
      </c>
      <c r="H1254" t="s">
        <v>126</v>
      </c>
      <c r="I1254" t="s">
        <v>16</v>
      </c>
      <c r="J1254" t="s">
        <v>17</v>
      </c>
      <c r="K1254">
        <v>16</v>
      </c>
      <c r="L1254">
        <v>0.95604110452788005</v>
      </c>
    </row>
    <row r="1255" spans="1:12">
      <c r="A1255" t="str">
        <f t="shared" si="19"/>
        <v>S0800002328</v>
      </c>
      <c r="B1255">
        <v>28</v>
      </c>
      <c r="C1255">
        <v>929</v>
      </c>
      <c r="D1255">
        <v>1064.2235547615701</v>
      </c>
      <c r="E1255">
        <v>26360</v>
      </c>
      <c r="F1255">
        <v>0.87293688985124596</v>
      </c>
      <c r="G1255">
        <v>3.52427921092564</v>
      </c>
      <c r="H1255" t="s">
        <v>126</v>
      </c>
      <c r="I1255" t="s">
        <v>18</v>
      </c>
      <c r="J1255" t="s">
        <v>19</v>
      </c>
      <c r="K1255">
        <v>16</v>
      </c>
      <c r="L1255">
        <v>0.78379092926231198</v>
      </c>
    </row>
    <row r="1256" spans="1:12">
      <c r="A1256" t="str">
        <f t="shared" si="19"/>
        <v>S0800002428</v>
      </c>
      <c r="B1256">
        <v>28</v>
      </c>
      <c r="C1256">
        <v>965</v>
      </c>
      <c r="D1256">
        <v>1111.44000060895</v>
      </c>
      <c r="E1256">
        <v>29709</v>
      </c>
      <c r="F1256">
        <v>0.86824299959627305</v>
      </c>
      <c r="G1256">
        <v>3.24817395402067</v>
      </c>
      <c r="H1256" t="s">
        <v>126</v>
      </c>
      <c r="I1256" t="s">
        <v>20</v>
      </c>
      <c r="J1256" t="s">
        <v>21</v>
      </c>
      <c r="K1256">
        <v>16</v>
      </c>
      <c r="L1256">
        <v>0.83397363930814095</v>
      </c>
    </row>
    <row r="1257" spans="1:12">
      <c r="A1257" t="str">
        <f t="shared" si="19"/>
        <v>S0800002528</v>
      </c>
      <c r="B1257">
        <v>28</v>
      </c>
      <c r="C1257">
        <v>42</v>
      </c>
      <c r="D1257">
        <v>36.295367757252897</v>
      </c>
      <c r="E1257">
        <v>778</v>
      </c>
      <c r="F1257">
        <v>1.15717246015801</v>
      </c>
      <c r="G1257">
        <v>5.3984575835475601</v>
      </c>
      <c r="H1257" t="s">
        <v>126</v>
      </c>
      <c r="I1257" t="s">
        <v>22</v>
      </c>
      <c r="J1257" t="s">
        <v>23</v>
      </c>
      <c r="K1257">
        <v>16</v>
      </c>
      <c r="L1257">
        <v>0.88685731566047599</v>
      </c>
    </row>
    <row r="1258" spans="1:12">
      <c r="A1258" t="str">
        <f t="shared" si="19"/>
        <v>S0800002628</v>
      </c>
      <c r="B1258">
        <v>28</v>
      </c>
      <c r="C1258">
        <v>20</v>
      </c>
      <c r="D1258">
        <v>20.405040519251401</v>
      </c>
      <c r="E1258">
        <v>900</v>
      </c>
      <c r="F1258">
        <v>0.98014997721424402</v>
      </c>
      <c r="G1258">
        <v>2.2222222222222201</v>
      </c>
      <c r="H1258" t="s">
        <v>126</v>
      </c>
      <c r="I1258" t="s">
        <v>24</v>
      </c>
      <c r="J1258" t="s">
        <v>25</v>
      </c>
      <c r="K1258">
        <v>16</v>
      </c>
      <c r="L1258">
        <v>1.0282541958266</v>
      </c>
    </row>
    <row r="1259" spans="1:12">
      <c r="A1259" t="str">
        <f t="shared" si="19"/>
        <v>S0800002728</v>
      </c>
      <c r="B1259">
        <v>28</v>
      </c>
      <c r="C1259">
        <v>668</v>
      </c>
      <c r="D1259">
        <v>713.87194558570104</v>
      </c>
      <c r="E1259">
        <v>15591</v>
      </c>
      <c r="F1259">
        <v>0.93574205308199199</v>
      </c>
      <c r="G1259">
        <v>4.2845231223141598</v>
      </c>
      <c r="H1259" t="s">
        <v>126</v>
      </c>
      <c r="I1259" t="s">
        <v>128</v>
      </c>
      <c r="J1259" t="s">
        <v>27</v>
      </c>
      <c r="K1259">
        <v>16</v>
      </c>
      <c r="L1259">
        <v>0.88851581411631397</v>
      </c>
    </row>
    <row r="1260" spans="1:12">
      <c r="A1260" t="str">
        <f t="shared" si="19"/>
        <v>S0800002828</v>
      </c>
      <c r="B1260">
        <v>28</v>
      </c>
      <c r="C1260">
        <v>46</v>
      </c>
      <c r="D1260">
        <v>40.842014902451403</v>
      </c>
      <c r="E1260">
        <v>1221</v>
      </c>
      <c r="F1260">
        <v>1.12629115164539</v>
      </c>
      <c r="G1260">
        <v>3.7674037674037701</v>
      </c>
      <c r="H1260" t="s">
        <v>126</v>
      </c>
      <c r="I1260" t="s">
        <v>28</v>
      </c>
      <c r="J1260" t="s">
        <v>29</v>
      </c>
      <c r="K1260">
        <v>16</v>
      </c>
      <c r="L1260">
        <v>0.92674547454909295</v>
      </c>
    </row>
    <row r="1261" spans="1:12">
      <c r="A1261" t="str">
        <f t="shared" si="19"/>
        <v>S0810000128</v>
      </c>
      <c r="B1261">
        <v>28</v>
      </c>
      <c r="C1261">
        <v>30</v>
      </c>
      <c r="D1261">
        <v>29.475076760115201</v>
      </c>
      <c r="E1261">
        <v>5272</v>
      </c>
      <c r="F1261">
        <v>1.0178090542106799</v>
      </c>
      <c r="G1261">
        <v>0.56904400606980299</v>
      </c>
      <c r="H1261" t="s">
        <v>126</v>
      </c>
      <c r="I1261" t="s">
        <v>30</v>
      </c>
      <c r="J1261" t="s">
        <v>129</v>
      </c>
      <c r="K1261">
        <v>16</v>
      </c>
      <c r="L1261">
        <v>0.97132756280560495</v>
      </c>
    </row>
    <row r="1262" spans="1:12">
      <c r="A1262" t="str">
        <f t="shared" si="19"/>
        <v>S0800001529</v>
      </c>
      <c r="B1262">
        <v>29</v>
      </c>
      <c r="C1262">
        <v>601</v>
      </c>
      <c r="D1262">
        <v>654.85807991130901</v>
      </c>
      <c r="E1262">
        <v>16632</v>
      </c>
      <c r="F1262">
        <v>0.91775610385901796</v>
      </c>
      <c r="G1262">
        <v>3.61351611351611</v>
      </c>
      <c r="H1262" t="s">
        <v>126</v>
      </c>
      <c r="I1262" t="s">
        <v>2</v>
      </c>
      <c r="J1262" t="s">
        <v>3</v>
      </c>
      <c r="K1262">
        <v>17</v>
      </c>
      <c r="L1262">
        <v>0.79165114888103605</v>
      </c>
    </row>
    <row r="1263" spans="1:12">
      <c r="A1263" t="str">
        <f t="shared" si="19"/>
        <v>S0800001629</v>
      </c>
      <c r="B1263">
        <v>29</v>
      </c>
      <c r="C1263">
        <v>184</v>
      </c>
      <c r="D1263">
        <v>185.439711983042</v>
      </c>
      <c r="E1263">
        <v>3741</v>
      </c>
      <c r="F1263">
        <v>0.99223622616942997</v>
      </c>
      <c r="G1263">
        <v>4.9184709970596101</v>
      </c>
      <c r="H1263" t="s">
        <v>126</v>
      </c>
      <c r="I1263" t="s">
        <v>4</v>
      </c>
      <c r="J1263" t="s">
        <v>5</v>
      </c>
      <c r="K1263">
        <v>17</v>
      </c>
      <c r="L1263">
        <v>0.93557683995068497</v>
      </c>
    </row>
    <row r="1264" spans="1:12">
      <c r="A1264" t="str">
        <f t="shared" si="19"/>
        <v>S0800001729</v>
      </c>
      <c r="B1264">
        <v>29</v>
      </c>
      <c r="C1264">
        <v>283</v>
      </c>
      <c r="D1264">
        <v>280.86273922603101</v>
      </c>
      <c r="E1264">
        <v>6968</v>
      </c>
      <c r="F1264">
        <v>1.0076096273213699</v>
      </c>
      <c r="G1264">
        <v>4.0614236509758896</v>
      </c>
      <c r="H1264" t="s">
        <v>126</v>
      </c>
      <c r="I1264" t="s">
        <v>6</v>
      </c>
      <c r="J1264" t="s">
        <v>7</v>
      </c>
      <c r="K1264">
        <v>17</v>
      </c>
      <c r="L1264">
        <v>0.89025692348476004</v>
      </c>
    </row>
    <row r="1265" spans="1:12">
      <c r="A1265" t="str">
        <f t="shared" si="19"/>
        <v>S0800001829</v>
      </c>
      <c r="B1265">
        <v>29</v>
      </c>
      <c r="C1265">
        <v>476</v>
      </c>
      <c r="D1265">
        <v>523.02074921913504</v>
      </c>
      <c r="E1265">
        <v>11755</v>
      </c>
      <c r="F1265">
        <v>0.91009773648686698</v>
      </c>
      <c r="G1265">
        <v>4.0493407060825204</v>
      </c>
      <c r="H1265" t="s">
        <v>126</v>
      </c>
      <c r="I1265" t="s">
        <v>127</v>
      </c>
      <c r="J1265" t="s">
        <v>9</v>
      </c>
      <c r="K1265">
        <v>17</v>
      </c>
      <c r="L1265">
        <v>0.90540965643330795</v>
      </c>
    </row>
    <row r="1266" spans="1:12">
      <c r="A1266" t="str">
        <f t="shared" si="19"/>
        <v>S0800001929</v>
      </c>
      <c r="B1266">
        <v>29</v>
      </c>
      <c r="C1266">
        <v>392</v>
      </c>
      <c r="D1266">
        <v>376.26207469651001</v>
      </c>
      <c r="E1266">
        <v>8445</v>
      </c>
      <c r="F1266">
        <v>1.0418270305775199</v>
      </c>
      <c r="G1266">
        <v>4.6417998815867403</v>
      </c>
      <c r="H1266" t="s">
        <v>126</v>
      </c>
      <c r="I1266" t="s">
        <v>10</v>
      </c>
      <c r="J1266" t="s">
        <v>11</v>
      </c>
      <c r="K1266">
        <v>17</v>
      </c>
      <c r="L1266">
        <v>0.92844526370116098</v>
      </c>
    </row>
    <row r="1267" spans="1:12">
      <c r="A1267" t="str">
        <f t="shared" si="19"/>
        <v>S0800002029</v>
      </c>
      <c r="B1267">
        <v>29</v>
      </c>
      <c r="C1267">
        <v>737</v>
      </c>
      <c r="D1267">
        <v>725.14224324065299</v>
      </c>
      <c r="E1267">
        <v>20302</v>
      </c>
      <c r="F1267">
        <v>1.0163523182794501</v>
      </c>
      <c r="G1267">
        <v>3.6301842183036199</v>
      </c>
      <c r="H1267" t="s">
        <v>126</v>
      </c>
      <c r="I1267" t="s">
        <v>12</v>
      </c>
      <c r="J1267" t="s">
        <v>13</v>
      </c>
      <c r="K1267">
        <v>17</v>
      </c>
      <c r="L1267">
        <v>0.97068191382640001</v>
      </c>
    </row>
    <row r="1268" spans="1:12">
      <c r="A1268" t="str">
        <f t="shared" si="19"/>
        <v>S0800002129</v>
      </c>
      <c r="B1268">
        <v>29</v>
      </c>
      <c r="C1268">
        <v>1717</v>
      </c>
      <c r="D1268">
        <v>1916.9945354003301</v>
      </c>
      <c r="E1268">
        <v>64241</v>
      </c>
      <c r="F1268">
        <v>0.895672871410371</v>
      </c>
      <c r="G1268">
        <v>2.6727479335626798</v>
      </c>
      <c r="H1268" t="s">
        <v>126</v>
      </c>
      <c r="I1268" t="s">
        <v>14</v>
      </c>
      <c r="J1268" t="s">
        <v>15</v>
      </c>
      <c r="K1268">
        <v>17</v>
      </c>
      <c r="L1268">
        <v>0.862279499101265</v>
      </c>
    </row>
    <row r="1269" spans="1:12">
      <c r="A1269" t="str">
        <f t="shared" si="19"/>
        <v>S0800002229</v>
      </c>
      <c r="B1269">
        <v>29</v>
      </c>
      <c r="C1269">
        <v>400</v>
      </c>
      <c r="D1269">
        <v>381.63602602826802</v>
      </c>
      <c r="E1269">
        <v>9733</v>
      </c>
      <c r="F1269">
        <v>1.0481190787013701</v>
      </c>
      <c r="G1269">
        <v>4.1097297852666204</v>
      </c>
      <c r="H1269" t="s">
        <v>126</v>
      </c>
      <c r="I1269" t="s">
        <v>16</v>
      </c>
      <c r="J1269" t="s">
        <v>17</v>
      </c>
      <c r="K1269">
        <v>17</v>
      </c>
      <c r="L1269">
        <v>0.95559608375619398</v>
      </c>
    </row>
    <row r="1270" spans="1:12">
      <c r="A1270" t="str">
        <f t="shared" si="19"/>
        <v>S0800002329</v>
      </c>
      <c r="B1270">
        <v>29</v>
      </c>
      <c r="C1270">
        <v>878</v>
      </c>
      <c r="D1270">
        <v>1009.1436958271699</v>
      </c>
      <c r="E1270">
        <v>25990</v>
      </c>
      <c r="F1270">
        <v>0.87004457703154503</v>
      </c>
      <c r="G1270">
        <v>3.3782223932281599</v>
      </c>
      <c r="H1270" t="s">
        <v>126</v>
      </c>
      <c r="I1270" t="s">
        <v>18</v>
      </c>
      <c r="J1270" t="s">
        <v>19</v>
      </c>
      <c r="K1270">
        <v>17</v>
      </c>
      <c r="L1270">
        <v>0.76989844483140901</v>
      </c>
    </row>
    <row r="1271" spans="1:12">
      <c r="A1271" t="str">
        <f t="shared" si="19"/>
        <v>S0800002429</v>
      </c>
      <c r="B1271">
        <v>29</v>
      </c>
      <c r="C1271">
        <v>917</v>
      </c>
      <c r="D1271">
        <v>1067.0682831648701</v>
      </c>
      <c r="E1271">
        <v>28527</v>
      </c>
      <c r="F1271">
        <v>0.85936393618618401</v>
      </c>
      <c r="G1271">
        <v>3.2144985452378401</v>
      </c>
      <c r="H1271" t="s">
        <v>126</v>
      </c>
      <c r="I1271" t="s">
        <v>20</v>
      </c>
      <c r="J1271" t="s">
        <v>21</v>
      </c>
      <c r="K1271">
        <v>17</v>
      </c>
      <c r="L1271">
        <v>0.82978459624566003</v>
      </c>
    </row>
    <row r="1272" spans="1:12">
      <c r="A1272" t="str">
        <f t="shared" si="19"/>
        <v>S0800002529</v>
      </c>
      <c r="B1272">
        <v>29</v>
      </c>
      <c r="C1272">
        <v>24</v>
      </c>
      <c r="D1272">
        <v>32.532926577221502</v>
      </c>
      <c r="E1272">
        <v>810</v>
      </c>
      <c r="F1272">
        <v>0.73771414148778203</v>
      </c>
      <c r="G1272">
        <v>2.9629629629629601</v>
      </c>
      <c r="H1272" t="s">
        <v>126</v>
      </c>
      <c r="I1272" t="s">
        <v>22</v>
      </c>
      <c r="J1272" t="s">
        <v>23</v>
      </c>
      <c r="K1272">
        <v>17</v>
      </c>
      <c r="L1272">
        <v>0.86525769166049704</v>
      </c>
    </row>
    <row r="1273" spans="1:12">
      <c r="A1273" t="str">
        <f t="shared" si="19"/>
        <v>S0800002629</v>
      </c>
      <c r="B1273">
        <v>29</v>
      </c>
      <c r="C1273">
        <v>29</v>
      </c>
      <c r="D1273">
        <v>23.221790211565001</v>
      </c>
      <c r="E1273">
        <v>845</v>
      </c>
      <c r="F1273">
        <v>1.24882706009278</v>
      </c>
      <c r="G1273">
        <v>3.4319526627218901</v>
      </c>
      <c r="H1273" t="s">
        <v>126</v>
      </c>
      <c r="I1273" t="s">
        <v>24</v>
      </c>
      <c r="J1273" t="s">
        <v>25</v>
      </c>
      <c r="K1273">
        <v>17</v>
      </c>
      <c r="L1273">
        <v>1.02856712171228</v>
      </c>
    </row>
    <row r="1274" spans="1:12">
      <c r="A1274" t="str">
        <f t="shared" si="19"/>
        <v>S0800002729</v>
      </c>
      <c r="B1274">
        <v>29</v>
      </c>
      <c r="C1274">
        <v>646</v>
      </c>
      <c r="D1274">
        <v>688.22630247292</v>
      </c>
      <c r="E1274">
        <v>15161</v>
      </c>
      <c r="F1274">
        <v>0.93864474182228497</v>
      </c>
      <c r="G1274">
        <v>4.2609326561572498</v>
      </c>
      <c r="H1274" t="s">
        <v>126</v>
      </c>
      <c r="I1274" t="s">
        <v>128</v>
      </c>
      <c r="J1274" t="s">
        <v>27</v>
      </c>
      <c r="K1274">
        <v>17</v>
      </c>
      <c r="L1274">
        <v>0.88495459437326796</v>
      </c>
    </row>
    <row r="1275" spans="1:12">
      <c r="A1275" t="str">
        <f t="shared" si="19"/>
        <v>S0800002829</v>
      </c>
      <c r="B1275">
        <v>29</v>
      </c>
      <c r="C1275">
        <v>35</v>
      </c>
      <c r="D1275">
        <v>43.652983355445599</v>
      </c>
      <c r="E1275">
        <v>1255</v>
      </c>
      <c r="F1275">
        <v>0.80177796131392698</v>
      </c>
      <c r="G1275">
        <v>2.78884462151394</v>
      </c>
      <c r="H1275" t="s">
        <v>126</v>
      </c>
      <c r="I1275" t="s">
        <v>28</v>
      </c>
      <c r="J1275" t="s">
        <v>29</v>
      </c>
      <c r="K1275">
        <v>17</v>
      </c>
      <c r="L1275">
        <v>0.90662884554576795</v>
      </c>
    </row>
    <row r="1276" spans="1:12">
      <c r="A1276" t="str">
        <f t="shared" si="19"/>
        <v>S0810000129</v>
      </c>
      <c r="B1276">
        <v>29</v>
      </c>
      <c r="C1276">
        <v>28</v>
      </c>
      <c r="D1276">
        <v>29.4977398936784</v>
      </c>
      <c r="E1276">
        <v>5189</v>
      </c>
      <c r="F1276">
        <v>0.949225266102528</v>
      </c>
      <c r="G1276">
        <v>0.53960300635960701</v>
      </c>
      <c r="H1276" t="s">
        <v>126</v>
      </c>
      <c r="I1276" t="s">
        <v>30</v>
      </c>
      <c r="J1276" t="s">
        <v>129</v>
      </c>
      <c r="K1276">
        <v>17</v>
      </c>
      <c r="L1276">
        <v>0.98110761539736202</v>
      </c>
    </row>
    <row r="1277" spans="1:12">
      <c r="A1277" t="str">
        <f t="shared" si="19"/>
        <v/>
      </c>
    </row>
    <row r="1278" spans="1:12">
      <c r="A1278" t="str">
        <f t="shared" si="19"/>
        <v/>
      </c>
    </row>
    <row r="1279" spans="1:12">
      <c r="A1279" t="str">
        <f t="shared" si="19"/>
        <v/>
      </c>
    </row>
    <row r="1280" spans="1:12">
      <c r="A1280" t="str">
        <f t="shared" ref="A1280:A1343" si="20">CONCATENATE(I1280, B1280)</f>
        <v/>
      </c>
    </row>
    <row r="1281" spans="1:1">
      <c r="A1281" t="str">
        <f t="shared" si="20"/>
        <v/>
      </c>
    </row>
    <row r="1282" spans="1:1">
      <c r="A1282" t="str">
        <f t="shared" si="20"/>
        <v/>
      </c>
    </row>
    <row r="1283" spans="1:1">
      <c r="A1283" t="str">
        <f t="shared" si="20"/>
        <v/>
      </c>
    </row>
    <row r="1284" spans="1:1">
      <c r="A1284" t="str">
        <f t="shared" si="20"/>
        <v/>
      </c>
    </row>
    <row r="1285" spans="1:1">
      <c r="A1285" t="str">
        <f t="shared" si="20"/>
        <v/>
      </c>
    </row>
    <row r="1286" spans="1:1">
      <c r="A1286" t="str">
        <f t="shared" si="20"/>
        <v/>
      </c>
    </row>
    <row r="1287" spans="1:1">
      <c r="A1287" t="str">
        <f t="shared" si="20"/>
        <v/>
      </c>
    </row>
    <row r="1288" spans="1:1">
      <c r="A1288" t="str">
        <f t="shared" si="20"/>
        <v/>
      </c>
    </row>
    <row r="1289" spans="1:1">
      <c r="A1289" t="str">
        <f t="shared" si="20"/>
        <v/>
      </c>
    </row>
    <row r="1290" spans="1:1">
      <c r="A1290" t="str">
        <f t="shared" si="20"/>
        <v/>
      </c>
    </row>
    <row r="1291" spans="1:1">
      <c r="A1291" t="str">
        <f t="shared" si="20"/>
        <v/>
      </c>
    </row>
    <row r="1292" spans="1:1">
      <c r="A1292" t="str">
        <f t="shared" si="20"/>
        <v/>
      </c>
    </row>
    <row r="1293" spans="1:1">
      <c r="A1293" t="str">
        <f t="shared" si="20"/>
        <v/>
      </c>
    </row>
    <row r="1294" spans="1:1">
      <c r="A1294" t="str">
        <f t="shared" si="20"/>
        <v/>
      </c>
    </row>
    <row r="1295" spans="1:1">
      <c r="A1295" t="str">
        <f t="shared" si="20"/>
        <v/>
      </c>
    </row>
    <row r="1296" spans="1:1">
      <c r="A1296" t="str">
        <f t="shared" si="20"/>
        <v/>
      </c>
    </row>
    <row r="1297" spans="1:1">
      <c r="A1297" t="str">
        <f t="shared" si="20"/>
        <v/>
      </c>
    </row>
    <row r="1298" spans="1:1">
      <c r="A1298" t="str">
        <f t="shared" si="20"/>
        <v/>
      </c>
    </row>
    <row r="1299" spans="1:1">
      <c r="A1299" t="str">
        <f t="shared" si="20"/>
        <v/>
      </c>
    </row>
    <row r="1300" spans="1:1">
      <c r="A1300" t="str">
        <f t="shared" si="20"/>
        <v/>
      </c>
    </row>
    <row r="1301" spans="1:1">
      <c r="A1301" t="str">
        <f t="shared" si="20"/>
        <v/>
      </c>
    </row>
    <row r="1302" spans="1:1">
      <c r="A1302" t="str">
        <f t="shared" si="20"/>
        <v/>
      </c>
    </row>
    <row r="1303" spans="1:1">
      <c r="A1303" t="str">
        <f t="shared" si="20"/>
        <v/>
      </c>
    </row>
    <row r="1304" spans="1:1">
      <c r="A1304" t="str">
        <f t="shared" si="20"/>
        <v/>
      </c>
    </row>
    <row r="1305" spans="1:1">
      <c r="A1305" t="str">
        <f t="shared" si="20"/>
        <v/>
      </c>
    </row>
    <row r="1306" spans="1:1">
      <c r="A1306" t="str">
        <f t="shared" si="20"/>
        <v/>
      </c>
    </row>
    <row r="1307" spans="1:1">
      <c r="A1307" t="str">
        <f t="shared" si="20"/>
        <v/>
      </c>
    </row>
    <row r="1308" spans="1:1">
      <c r="A1308" t="str">
        <f t="shared" si="20"/>
        <v/>
      </c>
    </row>
    <row r="1309" spans="1:1">
      <c r="A1309" t="str">
        <f t="shared" si="20"/>
        <v/>
      </c>
    </row>
    <row r="1310" spans="1:1">
      <c r="A1310" t="str">
        <f t="shared" si="20"/>
        <v/>
      </c>
    </row>
    <row r="1311" spans="1:1">
      <c r="A1311" t="str">
        <f t="shared" si="20"/>
        <v/>
      </c>
    </row>
    <row r="1312" spans="1:1">
      <c r="A1312" t="str">
        <f t="shared" si="20"/>
        <v/>
      </c>
    </row>
    <row r="1313" spans="1:1">
      <c r="A1313" t="str">
        <f t="shared" si="20"/>
        <v/>
      </c>
    </row>
    <row r="1314" spans="1:1">
      <c r="A1314" t="str">
        <f t="shared" si="20"/>
        <v/>
      </c>
    </row>
    <row r="1315" spans="1:1">
      <c r="A1315" t="str">
        <f t="shared" si="20"/>
        <v/>
      </c>
    </row>
    <row r="1316" spans="1:1">
      <c r="A1316" t="str">
        <f t="shared" si="20"/>
        <v/>
      </c>
    </row>
    <row r="1317" spans="1:1">
      <c r="A1317" t="str">
        <f t="shared" si="20"/>
        <v/>
      </c>
    </row>
    <row r="1318" spans="1:1">
      <c r="A1318" t="str">
        <f t="shared" si="20"/>
        <v/>
      </c>
    </row>
    <row r="1319" spans="1:1">
      <c r="A1319" t="str">
        <f t="shared" si="20"/>
        <v/>
      </c>
    </row>
    <row r="1320" spans="1:1">
      <c r="A1320" t="str">
        <f t="shared" si="20"/>
        <v/>
      </c>
    </row>
    <row r="1321" spans="1:1">
      <c r="A1321" t="str">
        <f t="shared" si="20"/>
        <v/>
      </c>
    </row>
    <row r="1322" spans="1:1">
      <c r="A1322" t="str">
        <f t="shared" si="20"/>
        <v/>
      </c>
    </row>
    <row r="1323" spans="1:1">
      <c r="A1323" t="str">
        <f t="shared" si="20"/>
        <v/>
      </c>
    </row>
    <row r="1324" spans="1:1">
      <c r="A1324" t="str">
        <f t="shared" si="20"/>
        <v/>
      </c>
    </row>
    <row r="1325" spans="1:1">
      <c r="A1325" t="str">
        <f t="shared" si="20"/>
        <v/>
      </c>
    </row>
    <row r="1326" spans="1:1">
      <c r="A1326" t="str">
        <f t="shared" si="20"/>
        <v/>
      </c>
    </row>
    <row r="1327" spans="1:1">
      <c r="A1327" t="str">
        <f t="shared" si="20"/>
        <v/>
      </c>
    </row>
    <row r="1328" spans="1:1">
      <c r="A1328" t="str">
        <f t="shared" si="20"/>
        <v/>
      </c>
    </row>
    <row r="1329" spans="1:1">
      <c r="A1329" t="str">
        <f t="shared" si="20"/>
        <v/>
      </c>
    </row>
    <row r="1330" spans="1:1">
      <c r="A1330" t="str">
        <f t="shared" si="20"/>
        <v/>
      </c>
    </row>
    <row r="1331" spans="1:1">
      <c r="A1331" t="str">
        <f t="shared" si="20"/>
        <v/>
      </c>
    </row>
    <row r="1332" spans="1:1">
      <c r="A1332" t="str">
        <f t="shared" si="20"/>
        <v/>
      </c>
    </row>
    <row r="1333" spans="1:1">
      <c r="A1333" t="str">
        <f t="shared" si="20"/>
        <v/>
      </c>
    </row>
    <row r="1334" spans="1:1">
      <c r="A1334" t="str">
        <f t="shared" si="20"/>
        <v/>
      </c>
    </row>
    <row r="1335" spans="1:1">
      <c r="A1335" t="str">
        <f t="shared" si="20"/>
        <v/>
      </c>
    </row>
    <row r="1336" spans="1:1">
      <c r="A1336" t="str">
        <f t="shared" si="20"/>
        <v/>
      </c>
    </row>
    <row r="1337" spans="1:1">
      <c r="A1337" t="str">
        <f t="shared" si="20"/>
        <v/>
      </c>
    </row>
    <row r="1338" spans="1:1">
      <c r="A1338" t="str">
        <f t="shared" si="20"/>
        <v/>
      </c>
    </row>
    <row r="1339" spans="1:1">
      <c r="A1339" t="str">
        <f t="shared" si="20"/>
        <v/>
      </c>
    </row>
    <row r="1340" spans="1:1">
      <c r="A1340" t="str">
        <f t="shared" si="20"/>
        <v/>
      </c>
    </row>
    <row r="1341" spans="1:1">
      <c r="A1341" t="str">
        <f t="shared" si="20"/>
        <v/>
      </c>
    </row>
    <row r="1342" spans="1:1">
      <c r="A1342" t="str">
        <f t="shared" si="20"/>
        <v/>
      </c>
    </row>
    <row r="1343" spans="1:1">
      <c r="A1343" t="str">
        <f t="shared" si="20"/>
        <v/>
      </c>
    </row>
    <row r="1344" spans="1:1">
      <c r="A1344" t="str">
        <f t="shared" ref="A1344:A1407" si="21">CONCATENATE(I1344, B1344)</f>
        <v/>
      </c>
    </row>
    <row r="1345" spans="1:1">
      <c r="A1345" t="str">
        <f t="shared" si="21"/>
        <v/>
      </c>
    </row>
    <row r="1346" spans="1:1">
      <c r="A1346" t="str">
        <f t="shared" si="21"/>
        <v/>
      </c>
    </row>
    <row r="1347" spans="1:1">
      <c r="A1347" t="str">
        <f t="shared" si="21"/>
        <v/>
      </c>
    </row>
    <row r="1348" spans="1:1">
      <c r="A1348" t="str">
        <f t="shared" si="21"/>
        <v/>
      </c>
    </row>
    <row r="1349" spans="1:1">
      <c r="A1349" t="str">
        <f t="shared" si="21"/>
        <v/>
      </c>
    </row>
    <row r="1350" spans="1:1">
      <c r="A1350" t="str">
        <f t="shared" si="21"/>
        <v/>
      </c>
    </row>
    <row r="1351" spans="1:1">
      <c r="A1351" t="str">
        <f t="shared" si="21"/>
        <v/>
      </c>
    </row>
    <row r="1352" spans="1:1">
      <c r="A1352" t="str">
        <f t="shared" si="21"/>
        <v/>
      </c>
    </row>
    <row r="1353" spans="1:1">
      <c r="A1353" t="str">
        <f t="shared" si="21"/>
        <v/>
      </c>
    </row>
    <row r="1354" spans="1:1">
      <c r="A1354" t="str">
        <f t="shared" si="21"/>
        <v/>
      </c>
    </row>
    <row r="1355" spans="1:1">
      <c r="A1355" t="str">
        <f t="shared" si="21"/>
        <v/>
      </c>
    </row>
    <row r="1356" spans="1:1">
      <c r="A1356" t="str">
        <f t="shared" si="21"/>
        <v/>
      </c>
    </row>
    <row r="1357" spans="1:1">
      <c r="A1357" t="str">
        <f t="shared" si="21"/>
        <v/>
      </c>
    </row>
    <row r="1358" spans="1:1">
      <c r="A1358" t="str">
        <f t="shared" si="21"/>
        <v/>
      </c>
    </row>
    <row r="1359" spans="1:1">
      <c r="A1359" t="str">
        <f t="shared" si="21"/>
        <v/>
      </c>
    </row>
    <row r="1360" spans="1:1">
      <c r="A1360" t="str">
        <f t="shared" si="21"/>
        <v/>
      </c>
    </row>
    <row r="1361" spans="1:1">
      <c r="A1361" t="str">
        <f t="shared" si="21"/>
        <v/>
      </c>
    </row>
    <row r="1362" spans="1:1">
      <c r="A1362" t="str">
        <f t="shared" si="21"/>
        <v/>
      </c>
    </row>
    <row r="1363" spans="1:1">
      <c r="A1363" t="str">
        <f t="shared" si="21"/>
        <v/>
      </c>
    </row>
    <row r="1364" spans="1:1">
      <c r="A1364" t="str">
        <f t="shared" si="21"/>
        <v/>
      </c>
    </row>
    <row r="1365" spans="1:1">
      <c r="A1365" t="str">
        <f t="shared" si="21"/>
        <v/>
      </c>
    </row>
    <row r="1366" spans="1:1">
      <c r="A1366" t="str">
        <f t="shared" si="21"/>
        <v/>
      </c>
    </row>
    <row r="1367" spans="1:1">
      <c r="A1367" t="str">
        <f t="shared" si="21"/>
        <v/>
      </c>
    </row>
    <row r="1368" spans="1:1">
      <c r="A1368" t="str">
        <f t="shared" si="21"/>
        <v/>
      </c>
    </row>
    <row r="1369" spans="1:1">
      <c r="A1369" t="str">
        <f t="shared" si="21"/>
        <v/>
      </c>
    </row>
    <row r="1370" spans="1:1">
      <c r="A1370" t="str">
        <f t="shared" si="21"/>
        <v/>
      </c>
    </row>
    <row r="1371" spans="1:1">
      <c r="A1371" t="str">
        <f t="shared" si="21"/>
        <v/>
      </c>
    </row>
    <row r="1372" spans="1:1">
      <c r="A1372" t="str">
        <f t="shared" si="21"/>
        <v/>
      </c>
    </row>
    <row r="1373" spans="1:1">
      <c r="A1373" t="str">
        <f t="shared" si="21"/>
        <v/>
      </c>
    </row>
    <row r="1374" spans="1:1">
      <c r="A1374" t="str">
        <f t="shared" si="21"/>
        <v/>
      </c>
    </row>
    <row r="1375" spans="1:1">
      <c r="A1375" t="str">
        <f t="shared" si="21"/>
        <v/>
      </c>
    </row>
    <row r="1376" spans="1:1">
      <c r="A1376" t="str">
        <f t="shared" si="21"/>
        <v/>
      </c>
    </row>
    <row r="1377" spans="1:1">
      <c r="A1377" t="str">
        <f t="shared" si="21"/>
        <v/>
      </c>
    </row>
    <row r="1378" spans="1:1">
      <c r="A1378" t="str">
        <f t="shared" si="21"/>
        <v/>
      </c>
    </row>
    <row r="1379" spans="1:1">
      <c r="A1379" t="str">
        <f t="shared" si="21"/>
        <v/>
      </c>
    </row>
    <row r="1380" spans="1:1">
      <c r="A1380" t="str">
        <f t="shared" si="21"/>
        <v/>
      </c>
    </row>
    <row r="1381" spans="1:1">
      <c r="A1381" t="str">
        <f t="shared" si="21"/>
        <v/>
      </c>
    </row>
    <row r="1382" spans="1:1">
      <c r="A1382" t="str">
        <f t="shared" si="21"/>
        <v/>
      </c>
    </row>
    <row r="1383" spans="1:1">
      <c r="A1383" t="str">
        <f t="shared" si="21"/>
        <v/>
      </c>
    </row>
    <row r="1384" spans="1:1">
      <c r="A1384" t="str">
        <f t="shared" si="21"/>
        <v/>
      </c>
    </row>
    <row r="1385" spans="1:1">
      <c r="A1385" t="str">
        <f t="shared" si="21"/>
        <v/>
      </c>
    </row>
    <row r="1386" spans="1:1">
      <c r="A1386" t="str">
        <f t="shared" si="21"/>
        <v/>
      </c>
    </row>
    <row r="1387" spans="1:1">
      <c r="A1387" t="str">
        <f t="shared" si="21"/>
        <v/>
      </c>
    </row>
    <row r="1388" spans="1:1">
      <c r="A1388" t="str">
        <f t="shared" si="21"/>
        <v/>
      </c>
    </row>
    <row r="1389" spans="1:1">
      <c r="A1389" t="str">
        <f t="shared" si="21"/>
        <v/>
      </c>
    </row>
    <row r="1390" spans="1:1">
      <c r="A1390" t="str">
        <f t="shared" si="21"/>
        <v/>
      </c>
    </row>
    <row r="1391" spans="1:1">
      <c r="A1391" t="str">
        <f t="shared" si="21"/>
        <v/>
      </c>
    </row>
    <row r="1392" spans="1:1">
      <c r="A1392" t="str">
        <f t="shared" si="21"/>
        <v/>
      </c>
    </row>
    <row r="1393" spans="1:1">
      <c r="A1393" t="str">
        <f t="shared" si="21"/>
        <v/>
      </c>
    </row>
    <row r="1394" spans="1:1">
      <c r="A1394" t="str">
        <f t="shared" si="21"/>
        <v/>
      </c>
    </row>
    <row r="1395" spans="1:1">
      <c r="A1395" t="str">
        <f t="shared" si="21"/>
        <v/>
      </c>
    </row>
    <row r="1396" spans="1:1">
      <c r="A1396" t="str">
        <f t="shared" si="21"/>
        <v/>
      </c>
    </row>
    <row r="1397" spans="1:1">
      <c r="A1397" t="str">
        <f t="shared" si="21"/>
        <v/>
      </c>
    </row>
    <row r="1398" spans="1:1">
      <c r="A1398" t="str">
        <f t="shared" si="21"/>
        <v/>
      </c>
    </row>
    <row r="1399" spans="1:1">
      <c r="A1399" t="str">
        <f t="shared" si="21"/>
        <v/>
      </c>
    </row>
    <row r="1400" spans="1:1">
      <c r="A1400" t="str">
        <f t="shared" si="21"/>
        <v/>
      </c>
    </row>
    <row r="1401" spans="1:1">
      <c r="A1401" t="str">
        <f t="shared" si="21"/>
        <v/>
      </c>
    </row>
    <row r="1402" spans="1:1">
      <c r="A1402" t="str">
        <f t="shared" si="21"/>
        <v/>
      </c>
    </row>
    <row r="1403" spans="1:1">
      <c r="A1403" t="str">
        <f t="shared" si="21"/>
        <v/>
      </c>
    </row>
    <row r="1404" spans="1:1">
      <c r="A1404" t="str">
        <f t="shared" si="21"/>
        <v/>
      </c>
    </row>
    <row r="1405" spans="1:1">
      <c r="A1405" t="str">
        <f t="shared" si="21"/>
        <v/>
      </c>
    </row>
    <row r="1406" spans="1:1">
      <c r="A1406" t="str">
        <f t="shared" si="21"/>
        <v/>
      </c>
    </row>
    <row r="1407" spans="1:1">
      <c r="A1407" t="str">
        <f t="shared" si="21"/>
        <v/>
      </c>
    </row>
    <row r="1408" spans="1:1">
      <c r="A1408" t="str">
        <f t="shared" ref="A1408:A1471" si="22">CONCATENATE(I1408, B1408)</f>
        <v/>
      </c>
    </row>
    <row r="1409" spans="1:1">
      <c r="A1409" t="str">
        <f t="shared" si="22"/>
        <v/>
      </c>
    </row>
    <row r="1410" spans="1:1">
      <c r="A1410" t="str">
        <f t="shared" si="22"/>
        <v/>
      </c>
    </row>
    <row r="1411" spans="1:1">
      <c r="A1411" t="str">
        <f t="shared" si="22"/>
        <v/>
      </c>
    </row>
    <row r="1412" spans="1:1">
      <c r="A1412" t="str">
        <f t="shared" si="22"/>
        <v/>
      </c>
    </row>
    <row r="1413" spans="1:1">
      <c r="A1413" t="str">
        <f t="shared" si="22"/>
        <v/>
      </c>
    </row>
    <row r="1414" spans="1:1">
      <c r="A1414" t="str">
        <f t="shared" si="22"/>
        <v/>
      </c>
    </row>
    <row r="1415" spans="1:1">
      <c r="A1415" t="str">
        <f t="shared" si="22"/>
        <v/>
      </c>
    </row>
    <row r="1416" spans="1:1">
      <c r="A1416" t="str">
        <f t="shared" si="22"/>
        <v/>
      </c>
    </row>
    <row r="1417" spans="1:1">
      <c r="A1417" t="str">
        <f t="shared" si="22"/>
        <v/>
      </c>
    </row>
    <row r="1418" spans="1:1">
      <c r="A1418" t="str">
        <f t="shared" si="22"/>
        <v/>
      </c>
    </row>
    <row r="1419" spans="1:1">
      <c r="A1419" t="str">
        <f t="shared" si="22"/>
        <v/>
      </c>
    </row>
    <row r="1420" spans="1:1">
      <c r="A1420" t="str">
        <f t="shared" si="22"/>
        <v/>
      </c>
    </row>
    <row r="1421" spans="1:1">
      <c r="A1421" t="str">
        <f t="shared" si="22"/>
        <v/>
      </c>
    </row>
    <row r="1422" spans="1:1">
      <c r="A1422" t="str">
        <f t="shared" si="22"/>
        <v/>
      </c>
    </row>
    <row r="1423" spans="1:1">
      <c r="A1423" t="str">
        <f t="shared" si="22"/>
        <v/>
      </c>
    </row>
    <row r="1424" spans="1:1">
      <c r="A1424" t="str">
        <f t="shared" si="22"/>
        <v/>
      </c>
    </row>
    <row r="1425" spans="1:1">
      <c r="A1425" t="str">
        <f t="shared" si="22"/>
        <v/>
      </c>
    </row>
    <row r="1426" spans="1:1">
      <c r="A1426" t="str">
        <f t="shared" si="22"/>
        <v/>
      </c>
    </row>
    <row r="1427" spans="1:1">
      <c r="A1427" t="str">
        <f t="shared" si="22"/>
        <v/>
      </c>
    </row>
    <row r="1428" spans="1:1">
      <c r="A1428" t="str">
        <f t="shared" si="22"/>
        <v/>
      </c>
    </row>
    <row r="1429" spans="1:1">
      <c r="A1429" t="str">
        <f t="shared" si="22"/>
        <v/>
      </c>
    </row>
    <row r="1430" spans="1:1">
      <c r="A1430" t="str">
        <f t="shared" si="22"/>
        <v/>
      </c>
    </row>
    <row r="1431" spans="1:1">
      <c r="A1431" t="str">
        <f t="shared" si="22"/>
        <v/>
      </c>
    </row>
    <row r="1432" spans="1:1">
      <c r="A1432" t="str">
        <f t="shared" si="22"/>
        <v/>
      </c>
    </row>
    <row r="1433" spans="1:1">
      <c r="A1433" t="str">
        <f t="shared" si="22"/>
        <v/>
      </c>
    </row>
    <row r="1434" spans="1:1">
      <c r="A1434" t="str">
        <f t="shared" si="22"/>
        <v/>
      </c>
    </row>
    <row r="1435" spans="1:1">
      <c r="A1435" t="str">
        <f t="shared" si="22"/>
        <v/>
      </c>
    </row>
    <row r="1436" spans="1:1">
      <c r="A1436" t="str">
        <f t="shared" si="22"/>
        <v/>
      </c>
    </row>
    <row r="1437" spans="1:1">
      <c r="A1437" t="str">
        <f t="shared" si="22"/>
        <v/>
      </c>
    </row>
    <row r="1438" spans="1:1">
      <c r="A1438" t="str">
        <f t="shared" si="22"/>
        <v/>
      </c>
    </row>
    <row r="1439" spans="1:1">
      <c r="A1439" t="str">
        <f t="shared" si="22"/>
        <v/>
      </c>
    </row>
    <row r="1440" spans="1:1">
      <c r="A1440" t="str">
        <f t="shared" si="22"/>
        <v/>
      </c>
    </row>
    <row r="1441" spans="1:1">
      <c r="A1441" t="str">
        <f t="shared" si="22"/>
        <v/>
      </c>
    </row>
    <row r="1442" spans="1:1">
      <c r="A1442" t="str">
        <f t="shared" si="22"/>
        <v/>
      </c>
    </row>
    <row r="1443" spans="1:1">
      <c r="A1443" t="str">
        <f t="shared" si="22"/>
        <v/>
      </c>
    </row>
    <row r="1444" spans="1:1">
      <c r="A1444" t="str">
        <f t="shared" si="22"/>
        <v/>
      </c>
    </row>
    <row r="1445" spans="1:1">
      <c r="A1445" t="str">
        <f t="shared" si="22"/>
        <v/>
      </c>
    </row>
    <row r="1446" spans="1:1">
      <c r="A1446" t="str">
        <f t="shared" si="22"/>
        <v/>
      </c>
    </row>
    <row r="1447" spans="1:1">
      <c r="A1447" t="str">
        <f t="shared" si="22"/>
        <v/>
      </c>
    </row>
    <row r="1448" spans="1:1">
      <c r="A1448" t="str">
        <f t="shared" si="22"/>
        <v/>
      </c>
    </row>
    <row r="1449" spans="1:1">
      <c r="A1449" t="str">
        <f t="shared" si="22"/>
        <v/>
      </c>
    </row>
    <row r="1450" spans="1:1">
      <c r="A1450" t="str">
        <f t="shared" si="22"/>
        <v/>
      </c>
    </row>
    <row r="1451" spans="1:1">
      <c r="A1451" t="str">
        <f t="shared" si="22"/>
        <v/>
      </c>
    </row>
    <row r="1452" spans="1:1">
      <c r="A1452" t="str">
        <f t="shared" si="22"/>
        <v/>
      </c>
    </row>
    <row r="1453" spans="1:1">
      <c r="A1453" t="str">
        <f t="shared" si="22"/>
        <v/>
      </c>
    </row>
    <row r="1454" spans="1:1">
      <c r="A1454" t="str">
        <f t="shared" si="22"/>
        <v/>
      </c>
    </row>
    <row r="1455" spans="1:1">
      <c r="A1455" t="str">
        <f t="shared" si="22"/>
        <v/>
      </c>
    </row>
    <row r="1456" spans="1:1">
      <c r="A1456" t="str">
        <f t="shared" si="22"/>
        <v/>
      </c>
    </row>
    <row r="1457" spans="1:1">
      <c r="A1457" t="str">
        <f t="shared" si="22"/>
        <v/>
      </c>
    </row>
    <row r="1458" spans="1:1">
      <c r="A1458" t="str">
        <f t="shared" si="22"/>
        <v/>
      </c>
    </row>
    <row r="1459" spans="1:1">
      <c r="A1459" t="str">
        <f t="shared" si="22"/>
        <v/>
      </c>
    </row>
    <row r="1460" spans="1:1">
      <c r="A1460" t="str">
        <f t="shared" si="22"/>
        <v/>
      </c>
    </row>
    <row r="1461" spans="1:1">
      <c r="A1461" t="str">
        <f t="shared" si="22"/>
        <v/>
      </c>
    </row>
    <row r="1462" spans="1:1">
      <c r="A1462" t="str">
        <f t="shared" si="22"/>
        <v/>
      </c>
    </row>
    <row r="1463" spans="1:1">
      <c r="A1463" t="str">
        <f t="shared" si="22"/>
        <v/>
      </c>
    </row>
    <row r="1464" spans="1:1">
      <c r="A1464" t="str">
        <f t="shared" si="22"/>
        <v/>
      </c>
    </row>
    <row r="1465" spans="1:1">
      <c r="A1465" t="str">
        <f t="shared" si="22"/>
        <v/>
      </c>
    </row>
    <row r="1466" spans="1:1">
      <c r="A1466" t="str">
        <f t="shared" si="22"/>
        <v/>
      </c>
    </row>
    <row r="1467" spans="1:1">
      <c r="A1467" t="str">
        <f t="shared" si="22"/>
        <v/>
      </c>
    </row>
    <row r="1468" spans="1:1">
      <c r="A1468" t="str">
        <f t="shared" si="22"/>
        <v/>
      </c>
    </row>
    <row r="1469" spans="1:1">
      <c r="A1469" t="str">
        <f t="shared" si="22"/>
        <v/>
      </c>
    </row>
    <row r="1470" spans="1:1">
      <c r="A1470" t="str">
        <f t="shared" si="22"/>
        <v/>
      </c>
    </row>
    <row r="1471" spans="1:1">
      <c r="A1471" t="str">
        <f t="shared" si="22"/>
        <v/>
      </c>
    </row>
    <row r="1472" spans="1:1">
      <c r="A1472" t="str">
        <f t="shared" ref="A1472:A1535" si="23">CONCATENATE(I1472, B1472)</f>
        <v/>
      </c>
    </row>
    <row r="1473" spans="1:1">
      <c r="A1473" t="str">
        <f t="shared" si="23"/>
        <v/>
      </c>
    </row>
    <row r="1474" spans="1:1">
      <c r="A1474" t="str">
        <f t="shared" si="23"/>
        <v/>
      </c>
    </row>
    <row r="1475" spans="1:1">
      <c r="A1475" t="str">
        <f t="shared" si="23"/>
        <v/>
      </c>
    </row>
    <row r="1476" spans="1:1">
      <c r="A1476" t="str">
        <f t="shared" si="23"/>
        <v/>
      </c>
    </row>
    <row r="1477" spans="1:1">
      <c r="A1477" t="str">
        <f t="shared" si="23"/>
        <v/>
      </c>
    </row>
    <row r="1478" spans="1:1">
      <c r="A1478" t="str">
        <f t="shared" si="23"/>
        <v/>
      </c>
    </row>
    <row r="1479" spans="1:1">
      <c r="A1479" t="str">
        <f t="shared" si="23"/>
        <v/>
      </c>
    </row>
    <row r="1480" spans="1:1">
      <c r="A1480" t="str">
        <f t="shared" si="23"/>
        <v/>
      </c>
    </row>
    <row r="1481" spans="1:1">
      <c r="A1481" t="str">
        <f t="shared" si="23"/>
        <v/>
      </c>
    </row>
    <row r="1482" spans="1:1">
      <c r="A1482" t="str">
        <f t="shared" si="23"/>
        <v/>
      </c>
    </row>
    <row r="1483" spans="1:1">
      <c r="A1483" t="str">
        <f t="shared" si="23"/>
        <v/>
      </c>
    </row>
    <row r="1484" spans="1:1">
      <c r="A1484" t="str">
        <f t="shared" si="23"/>
        <v/>
      </c>
    </row>
    <row r="1485" spans="1:1">
      <c r="A1485" t="str">
        <f t="shared" si="23"/>
        <v/>
      </c>
    </row>
    <row r="1486" spans="1:1">
      <c r="A1486" t="str">
        <f t="shared" si="23"/>
        <v/>
      </c>
    </row>
    <row r="1487" spans="1:1">
      <c r="A1487" t="str">
        <f t="shared" si="23"/>
        <v/>
      </c>
    </row>
    <row r="1488" spans="1:1">
      <c r="A1488" t="str">
        <f t="shared" si="23"/>
        <v/>
      </c>
    </row>
    <row r="1489" spans="1:1">
      <c r="A1489" t="str">
        <f t="shared" si="23"/>
        <v/>
      </c>
    </row>
    <row r="1490" spans="1:1">
      <c r="A1490" t="str">
        <f t="shared" si="23"/>
        <v/>
      </c>
    </row>
    <row r="1491" spans="1:1">
      <c r="A1491" t="str">
        <f t="shared" si="23"/>
        <v/>
      </c>
    </row>
    <row r="1492" spans="1:1">
      <c r="A1492" t="str">
        <f t="shared" si="23"/>
        <v/>
      </c>
    </row>
    <row r="1493" spans="1:1">
      <c r="A1493" t="str">
        <f t="shared" si="23"/>
        <v/>
      </c>
    </row>
    <row r="1494" spans="1:1">
      <c r="A1494" t="str">
        <f t="shared" si="23"/>
        <v/>
      </c>
    </row>
    <row r="1495" spans="1:1">
      <c r="A1495" t="str">
        <f t="shared" si="23"/>
        <v/>
      </c>
    </row>
    <row r="1496" spans="1:1">
      <c r="A1496" t="str">
        <f t="shared" si="23"/>
        <v/>
      </c>
    </row>
    <row r="1497" spans="1:1">
      <c r="A1497" t="str">
        <f t="shared" si="23"/>
        <v/>
      </c>
    </row>
    <row r="1498" spans="1:1">
      <c r="A1498" t="str">
        <f t="shared" si="23"/>
        <v/>
      </c>
    </row>
    <row r="1499" spans="1:1">
      <c r="A1499" t="str">
        <f t="shared" si="23"/>
        <v/>
      </c>
    </row>
    <row r="1500" spans="1:1">
      <c r="A1500" t="str">
        <f t="shared" si="23"/>
        <v/>
      </c>
    </row>
    <row r="1501" spans="1:1">
      <c r="A1501" t="str">
        <f t="shared" si="23"/>
        <v/>
      </c>
    </row>
    <row r="1502" spans="1:1">
      <c r="A1502" t="str">
        <f t="shared" si="23"/>
        <v/>
      </c>
    </row>
    <row r="1503" spans="1:1">
      <c r="A1503" t="str">
        <f t="shared" si="23"/>
        <v/>
      </c>
    </row>
    <row r="1504" spans="1:1">
      <c r="A1504" t="str">
        <f t="shared" si="23"/>
        <v/>
      </c>
    </row>
    <row r="1505" spans="1:1">
      <c r="A1505" t="str">
        <f t="shared" si="23"/>
        <v/>
      </c>
    </row>
    <row r="1506" spans="1:1">
      <c r="A1506" t="str">
        <f t="shared" si="23"/>
        <v/>
      </c>
    </row>
    <row r="1507" spans="1:1">
      <c r="A1507" t="str">
        <f t="shared" si="23"/>
        <v/>
      </c>
    </row>
    <row r="1508" spans="1:1">
      <c r="A1508" t="str">
        <f t="shared" si="23"/>
        <v/>
      </c>
    </row>
    <row r="1509" spans="1:1">
      <c r="A1509" t="str">
        <f t="shared" si="23"/>
        <v/>
      </c>
    </row>
    <row r="1510" spans="1:1">
      <c r="A1510" t="str">
        <f t="shared" si="23"/>
        <v/>
      </c>
    </row>
    <row r="1511" spans="1:1">
      <c r="A1511" t="str">
        <f t="shared" si="23"/>
        <v/>
      </c>
    </row>
    <row r="1512" spans="1:1">
      <c r="A1512" t="str">
        <f t="shared" si="23"/>
        <v/>
      </c>
    </row>
    <row r="1513" spans="1:1">
      <c r="A1513" t="str">
        <f t="shared" si="23"/>
        <v/>
      </c>
    </row>
    <row r="1514" spans="1:1">
      <c r="A1514" t="str">
        <f t="shared" si="23"/>
        <v/>
      </c>
    </row>
    <row r="1515" spans="1:1">
      <c r="A1515" t="str">
        <f t="shared" si="23"/>
        <v/>
      </c>
    </row>
    <row r="1516" spans="1:1">
      <c r="A1516" t="str">
        <f t="shared" si="23"/>
        <v/>
      </c>
    </row>
    <row r="1517" spans="1:1">
      <c r="A1517" t="str">
        <f t="shared" si="23"/>
        <v/>
      </c>
    </row>
    <row r="1518" spans="1:1">
      <c r="A1518" t="str">
        <f t="shared" si="23"/>
        <v/>
      </c>
    </row>
    <row r="1519" spans="1:1">
      <c r="A1519" t="str">
        <f t="shared" si="23"/>
        <v/>
      </c>
    </row>
    <row r="1520" spans="1:1">
      <c r="A1520" t="str">
        <f t="shared" si="23"/>
        <v/>
      </c>
    </row>
    <row r="1521" spans="1:1">
      <c r="A1521" t="str">
        <f t="shared" si="23"/>
        <v/>
      </c>
    </row>
    <row r="1522" spans="1:1">
      <c r="A1522" t="str">
        <f t="shared" si="23"/>
        <v/>
      </c>
    </row>
    <row r="1523" spans="1:1">
      <c r="A1523" t="str">
        <f t="shared" si="23"/>
        <v/>
      </c>
    </row>
    <row r="1524" spans="1:1">
      <c r="A1524" t="str">
        <f t="shared" si="23"/>
        <v/>
      </c>
    </row>
    <row r="1525" spans="1:1">
      <c r="A1525" t="str">
        <f t="shared" si="23"/>
        <v/>
      </c>
    </row>
    <row r="1526" spans="1:1">
      <c r="A1526" t="str">
        <f t="shared" si="23"/>
        <v/>
      </c>
    </row>
    <row r="1527" spans="1:1">
      <c r="A1527" t="str">
        <f t="shared" si="23"/>
        <v/>
      </c>
    </row>
    <row r="1528" spans="1:1">
      <c r="A1528" t="str">
        <f t="shared" si="23"/>
        <v/>
      </c>
    </row>
    <row r="1529" spans="1:1">
      <c r="A1529" t="str">
        <f t="shared" si="23"/>
        <v/>
      </c>
    </row>
    <row r="1530" spans="1:1">
      <c r="A1530" t="str">
        <f t="shared" si="23"/>
        <v/>
      </c>
    </row>
    <row r="1531" spans="1:1">
      <c r="A1531" t="str">
        <f t="shared" si="23"/>
        <v/>
      </c>
    </row>
    <row r="1532" spans="1:1">
      <c r="A1532" t="str">
        <f t="shared" si="23"/>
        <v/>
      </c>
    </row>
    <row r="1533" spans="1:1">
      <c r="A1533" t="str">
        <f t="shared" si="23"/>
        <v/>
      </c>
    </row>
    <row r="1534" spans="1:1">
      <c r="A1534" t="str">
        <f t="shared" si="23"/>
        <v/>
      </c>
    </row>
    <row r="1535" spans="1:1">
      <c r="A1535" t="str">
        <f t="shared" si="23"/>
        <v/>
      </c>
    </row>
    <row r="1536" spans="1:1">
      <c r="A1536" t="str">
        <f t="shared" ref="A1536:A1599" si="24">CONCATENATE(I1536, B1536)</f>
        <v/>
      </c>
    </row>
    <row r="1537" spans="1:1">
      <c r="A1537" t="str">
        <f t="shared" si="24"/>
        <v/>
      </c>
    </row>
    <row r="1538" spans="1:1">
      <c r="A1538" t="str">
        <f t="shared" si="24"/>
        <v/>
      </c>
    </row>
    <row r="1539" spans="1:1">
      <c r="A1539" t="str">
        <f t="shared" si="24"/>
        <v/>
      </c>
    </row>
    <row r="1540" spans="1:1">
      <c r="A1540" t="str">
        <f t="shared" si="24"/>
        <v/>
      </c>
    </row>
    <row r="1541" spans="1:1">
      <c r="A1541" t="str">
        <f t="shared" si="24"/>
        <v/>
      </c>
    </row>
    <row r="1542" spans="1:1">
      <c r="A1542" t="str">
        <f t="shared" si="24"/>
        <v/>
      </c>
    </row>
    <row r="1543" spans="1:1">
      <c r="A1543" t="str">
        <f t="shared" si="24"/>
        <v/>
      </c>
    </row>
    <row r="1544" spans="1:1">
      <c r="A1544" t="str">
        <f t="shared" si="24"/>
        <v/>
      </c>
    </row>
    <row r="1545" spans="1:1">
      <c r="A1545" t="str">
        <f t="shared" si="24"/>
        <v/>
      </c>
    </row>
    <row r="1546" spans="1:1">
      <c r="A1546" t="str">
        <f t="shared" si="24"/>
        <v/>
      </c>
    </row>
    <row r="1547" spans="1:1">
      <c r="A1547" t="str">
        <f t="shared" si="24"/>
        <v/>
      </c>
    </row>
    <row r="1548" spans="1:1">
      <c r="A1548" t="str">
        <f t="shared" si="24"/>
        <v/>
      </c>
    </row>
    <row r="1549" spans="1:1">
      <c r="A1549" t="str">
        <f t="shared" si="24"/>
        <v/>
      </c>
    </row>
    <row r="1550" spans="1:1">
      <c r="A1550" t="str">
        <f t="shared" si="24"/>
        <v/>
      </c>
    </row>
    <row r="1551" spans="1:1">
      <c r="A1551" t="str">
        <f t="shared" si="24"/>
        <v/>
      </c>
    </row>
    <row r="1552" spans="1:1">
      <c r="A1552" t="str">
        <f t="shared" si="24"/>
        <v/>
      </c>
    </row>
    <row r="1553" spans="1:1">
      <c r="A1553" t="str">
        <f t="shared" si="24"/>
        <v/>
      </c>
    </row>
    <row r="1554" spans="1:1">
      <c r="A1554" t="str">
        <f t="shared" si="24"/>
        <v/>
      </c>
    </row>
    <row r="1555" spans="1:1">
      <c r="A1555" t="str">
        <f t="shared" si="24"/>
        <v/>
      </c>
    </row>
    <row r="1556" spans="1:1">
      <c r="A1556" t="str">
        <f t="shared" si="24"/>
        <v/>
      </c>
    </row>
    <row r="1557" spans="1:1">
      <c r="A1557" t="str">
        <f t="shared" si="24"/>
        <v/>
      </c>
    </row>
    <row r="1558" spans="1:1">
      <c r="A1558" t="str">
        <f t="shared" si="24"/>
        <v/>
      </c>
    </row>
    <row r="1559" spans="1:1">
      <c r="A1559" t="str">
        <f t="shared" si="24"/>
        <v/>
      </c>
    </row>
    <row r="1560" spans="1:1">
      <c r="A1560" t="str">
        <f t="shared" si="24"/>
        <v/>
      </c>
    </row>
    <row r="1561" spans="1:1">
      <c r="A1561" t="str">
        <f t="shared" si="24"/>
        <v/>
      </c>
    </row>
    <row r="1562" spans="1:1">
      <c r="A1562" t="str">
        <f t="shared" si="24"/>
        <v/>
      </c>
    </row>
    <row r="1563" spans="1:1">
      <c r="A1563" t="str">
        <f t="shared" si="24"/>
        <v/>
      </c>
    </row>
    <row r="1564" spans="1:1">
      <c r="A1564" t="str">
        <f t="shared" si="24"/>
        <v/>
      </c>
    </row>
    <row r="1565" spans="1:1">
      <c r="A1565" t="str">
        <f t="shared" si="24"/>
        <v/>
      </c>
    </row>
    <row r="1566" spans="1:1">
      <c r="A1566" t="str">
        <f t="shared" si="24"/>
        <v/>
      </c>
    </row>
    <row r="1567" spans="1:1">
      <c r="A1567" t="str">
        <f t="shared" si="24"/>
        <v/>
      </c>
    </row>
    <row r="1568" spans="1:1">
      <c r="A1568" t="str">
        <f t="shared" si="24"/>
        <v/>
      </c>
    </row>
    <row r="1569" spans="1:1">
      <c r="A1569" t="str">
        <f t="shared" si="24"/>
        <v/>
      </c>
    </row>
    <row r="1570" spans="1:1">
      <c r="A1570" t="str">
        <f t="shared" si="24"/>
        <v/>
      </c>
    </row>
    <row r="1571" spans="1:1">
      <c r="A1571" t="str">
        <f t="shared" si="24"/>
        <v/>
      </c>
    </row>
    <row r="1572" spans="1:1">
      <c r="A1572" t="str">
        <f t="shared" si="24"/>
        <v/>
      </c>
    </row>
    <row r="1573" spans="1:1">
      <c r="A1573" t="str">
        <f t="shared" si="24"/>
        <v/>
      </c>
    </row>
    <row r="1574" spans="1:1">
      <c r="A1574" t="str">
        <f t="shared" si="24"/>
        <v/>
      </c>
    </row>
    <row r="1575" spans="1:1">
      <c r="A1575" t="str">
        <f t="shared" si="24"/>
        <v/>
      </c>
    </row>
    <row r="1576" spans="1:1">
      <c r="A1576" t="str">
        <f t="shared" si="24"/>
        <v/>
      </c>
    </row>
    <row r="1577" spans="1:1">
      <c r="A1577" t="str">
        <f t="shared" si="24"/>
        <v/>
      </c>
    </row>
    <row r="1578" spans="1:1">
      <c r="A1578" t="str">
        <f t="shared" si="24"/>
        <v/>
      </c>
    </row>
    <row r="1579" spans="1:1">
      <c r="A1579" t="str">
        <f t="shared" si="24"/>
        <v/>
      </c>
    </row>
    <row r="1580" spans="1:1">
      <c r="A1580" t="str">
        <f t="shared" si="24"/>
        <v/>
      </c>
    </row>
    <row r="1581" spans="1:1">
      <c r="A1581" t="str">
        <f t="shared" si="24"/>
        <v/>
      </c>
    </row>
    <row r="1582" spans="1:1">
      <c r="A1582" t="str">
        <f t="shared" si="24"/>
        <v/>
      </c>
    </row>
    <row r="1583" spans="1:1">
      <c r="A1583" t="str">
        <f t="shared" si="24"/>
        <v/>
      </c>
    </row>
    <row r="1584" spans="1:1">
      <c r="A1584" t="str">
        <f t="shared" si="24"/>
        <v/>
      </c>
    </row>
    <row r="1585" spans="1:1">
      <c r="A1585" t="str">
        <f t="shared" si="24"/>
        <v/>
      </c>
    </row>
    <row r="1586" spans="1:1">
      <c r="A1586" t="str">
        <f t="shared" si="24"/>
        <v/>
      </c>
    </row>
    <row r="1587" spans="1:1">
      <c r="A1587" t="str">
        <f t="shared" si="24"/>
        <v/>
      </c>
    </row>
    <row r="1588" spans="1:1">
      <c r="A1588" t="str">
        <f t="shared" si="24"/>
        <v/>
      </c>
    </row>
    <row r="1589" spans="1:1">
      <c r="A1589" t="str">
        <f t="shared" si="24"/>
        <v/>
      </c>
    </row>
    <row r="1590" spans="1:1">
      <c r="A1590" t="str">
        <f t="shared" si="24"/>
        <v/>
      </c>
    </row>
    <row r="1591" spans="1:1">
      <c r="A1591" t="str">
        <f t="shared" si="24"/>
        <v/>
      </c>
    </row>
    <row r="1592" spans="1:1">
      <c r="A1592" t="str">
        <f t="shared" si="24"/>
        <v/>
      </c>
    </row>
    <row r="1593" spans="1:1">
      <c r="A1593" t="str">
        <f t="shared" si="24"/>
        <v/>
      </c>
    </row>
    <row r="1594" spans="1:1">
      <c r="A1594" t="str">
        <f t="shared" si="24"/>
        <v/>
      </c>
    </row>
    <row r="1595" spans="1:1">
      <c r="A1595" t="str">
        <f t="shared" si="24"/>
        <v/>
      </c>
    </row>
    <row r="1596" spans="1:1">
      <c r="A1596" t="str">
        <f t="shared" si="24"/>
        <v/>
      </c>
    </row>
    <row r="1597" spans="1:1">
      <c r="A1597" t="str">
        <f t="shared" si="24"/>
        <v/>
      </c>
    </row>
    <row r="1598" spans="1:1">
      <c r="A1598" t="str">
        <f t="shared" si="24"/>
        <v/>
      </c>
    </row>
    <row r="1599" spans="1:1">
      <c r="A1599" t="str">
        <f t="shared" si="24"/>
        <v/>
      </c>
    </row>
    <row r="1600" spans="1:1">
      <c r="A1600" t="str">
        <f t="shared" ref="A1600:A1663" si="25">CONCATENATE(I1600, B1600)</f>
        <v/>
      </c>
    </row>
    <row r="1601" spans="1:1">
      <c r="A1601" t="str">
        <f t="shared" si="25"/>
        <v/>
      </c>
    </row>
    <row r="1602" spans="1:1">
      <c r="A1602" t="str">
        <f t="shared" si="25"/>
        <v/>
      </c>
    </row>
    <row r="1603" spans="1:1">
      <c r="A1603" t="str">
        <f t="shared" si="25"/>
        <v/>
      </c>
    </row>
    <row r="1604" spans="1:1">
      <c r="A1604" t="str">
        <f t="shared" si="25"/>
        <v/>
      </c>
    </row>
    <row r="1605" spans="1:1">
      <c r="A1605" t="str">
        <f t="shared" si="25"/>
        <v/>
      </c>
    </row>
    <row r="1606" spans="1:1">
      <c r="A1606" t="str">
        <f t="shared" si="25"/>
        <v/>
      </c>
    </row>
    <row r="1607" spans="1:1">
      <c r="A1607" t="str">
        <f t="shared" si="25"/>
        <v/>
      </c>
    </row>
    <row r="1608" spans="1:1">
      <c r="A1608" t="str">
        <f t="shared" si="25"/>
        <v/>
      </c>
    </row>
    <row r="1609" spans="1:1">
      <c r="A1609" t="str">
        <f t="shared" si="25"/>
        <v/>
      </c>
    </row>
    <row r="1610" spans="1:1">
      <c r="A1610" t="str">
        <f t="shared" si="25"/>
        <v/>
      </c>
    </row>
    <row r="1611" spans="1:1">
      <c r="A1611" t="str">
        <f t="shared" si="25"/>
        <v/>
      </c>
    </row>
    <row r="1612" spans="1:1">
      <c r="A1612" t="str">
        <f t="shared" si="25"/>
        <v/>
      </c>
    </row>
    <row r="1613" spans="1:1">
      <c r="A1613" t="str">
        <f t="shared" si="25"/>
        <v/>
      </c>
    </row>
    <row r="1614" spans="1:1">
      <c r="A1614" t="str">
        <f t="shared" si="25"/>
        <v/>
      </c>
    </row>
    <row r="1615" spans="1:1">
      <c r="A1615" t="str">
        <f t="shared" si="25"/>
        <v/>
      </c>
    </row>
    <row r="1616" spans="1:1">
      <c r="A1616" t="str">
        <f t="shared" si="25"/>
        <v/>
      </c>
    </row>
    <row r="1617" spans="1:1">
      <c r="A1617" t="str">
        <f t="shared" si="25"/>
        <v/>
      </c>
    </row>
    <row r="1618" spans="1:1">
      <c r="A1618" t="str">
        <f t="shared" si="25"/>
        <v/>
      </c>
    </row>
    <row r="1619" spans="1:1">
      <c r="A1619" t="str">
        <f t="shared" si="25"/>
        <v/>
      </c>
    </row>
    <row r="1620" spans="1:1">
      <c r="A1620" t="str">
        <f t="shared" si="25"/>
        <v/>
      </c>
    </row>
    <row r="1621" spans="1:1">
      <c r="A1621" t="str">
        <f t="shared" si="25"/>
        <v/>
      </c>
    </row>
    <row r="1622" spans="1:1">
      <c r="A1622" t="str">
        <f t="shared" si="25"/>
        <v/>
      </c>
    </row>
    <row r="1623" spans="1:1">
      <c r="A1623" t="str">
        <f t="shared" si="25"/>
        <v/>
      </c>
    </row>
    <row r="1624" spans="1:1">
      <c r="A1624" t="str">
        <f t="shared" si="25"/>
        <v/>
      </c>
    </row>
    <row r="1625" spans="1:1">
      <c r="A1625" t="str">
        <f t="shared" si="25"/>
        <v/>
      </c>
    </row>
    <row r="1626" spans="1:1">
      <c r="A1626" t="str">
        <f t="shared" si="25"/>
        <v/>
      </c>
    </row>
    <row r="1627" spans="1:1">
      <c r="A1627" t="str">
        <f t="shared" si="25"/>
        <v/>
      </c>
    </row>
    <row r="1628" spans="1:1">
      <c r="A1628" t="str">
        <f t="shared" si="25"/>
        <v/>
      </c>
    </row>
    <row r="1629" spans="1:1">
      <c r="A1629" t="str">
        <f t="shared" si="25"/>
        <v/>
      </c>
    </row>
    <row r="1630" spans="1:1">
      <c r="A1630" t="str">
        <f t="shared" si="25"/>
        <v/>
      </c>
    </row>
    <row r="1631" spans="1:1">
      <c r="A1631" t="str">
        <f t="shared" si="25"/>
        <v/>
      </c>
    </row>
    <row r="1632" spans="1:1">
      <c r="A1632" t="str">
        <f t="shared" si="25"/>
        <v/>
      </c>
    </row>
    <row r="1633" spans="1:1">
      <c r="A1633" t="str">
        <f t="shared" si="25"/>
        <v/>
      </c>
    </row>
    <row r="1634" spans="1:1">
      <c r="A1634" t="str">
        <f t="shared" si="25"/>
        <v/>
      </c>
    </row>
    <row r="1635" spans="1:1">
      <c r="A1635" t="str">
        <f t="shared" si="25"/>
        <v/>
      </c>
    </row>
    <row r="1636" spans="1:1">
      <c r="A1636" t="str">
        <f t="shared" si="25"/>
        <v/>
      </c>
    </row>
    <row r="1637" spans="1:1">
      <c r="A1637" t="str">
        <f t="shared" si="25"/>
        <v/>
      </c>
    </row>
    <row r="1638" spans="1:1">
      <c r="A1638" t="str">
        <f t="shared" si="25"/>
        <v/>
      </c>
    </row>
    <row r="1639" spans="1:1">
      <c r="A1639" t="str">
        <f t="shared" si="25"/>
        <v/>
      </c>
    </row>
    <row r="1640" spans="1:1">
      <c r="A1640" t="str">
        <f t="shared" si="25"/>
        <v/>
      </c>
    </row>
    <row r="1641" spans="1:1">
      <c r="A1641" t="str">
        <f t="shared" si="25"/>
        <v/>
      </c>
    </row>
    <row r="1642" spans="1:1">
      <c r="A1642" t="str">
        <f t="shared" si="25"/>
        <v/>
      </c>
    </row>
    <row r="1643" spans="1:1">
      <c r="A1643" t="str">
        <f t="shared" si="25"/>
        <v/>
      </c>
    </row>
    <row r="1644" spans="1:1">
      <c r="A1644" t="str">
        <f t="shared" si="25"/>
        <v/>
      </c>
    </row>
    <row r="1645" spans="1:1">
      <c r="A1645" t="str">
        <f t="shared" si="25"/>
        <v/>
      </c>
    </row>
    <row r="1646" spans="1:1">
      <c r="A1646" t="str">
        <f t="shared" si="25"/>
        <v/>
      </c>
    </row>
    <row r="1647" spans="1:1">
      <c r="A1647" t="str">
        <f t="shared" si="25"/>
        <v/>
      </c>
    </row>
    <row r="1648" spans="1:1">
      <c r="A1648" t="str">
        <f t="shared" si="25"/>
        <v/>
      </c>
    </row>
    <row r="1649" spans="1:1">
      <c r="A1649" t="str">
        <f t="shared" si="25"/>
        <v/>
      </c>
    </row>
    <row r="1650" spans="1:1">
      <c r="A1650" t="str">
        <f t="shared" si="25"/>
        <v/>
      </c>
    </row>
    <row r="1651" spans="1:1">
      <c r="A1651" t="str">
        <f t="shared" si="25"/>
        <v/>
      </c>
    </row>
    <row r="1652" spans="1:1">
      <c r="A1652" t="str">
        <f t="shared" si="25"/>
        <v/>
      </c>
    </row>
    <row r="1653" spans="1:1">
      <c r="A1653" t="str">
        <f t="shared" si="25"/>
        <v/>
      </c>
    </row>
    <row r="1654" spans="1:1">
      <c r="A1654" t="str">
        <f t="shared" si="25"/>
        <v/>
      </c>
    </row>
    <row r="1655" spans="1:1">
      <c r="A1655" t="str">
        <f t="shared" si="25"/>
        <v/>
      </c>
    </row>
    <row r="1656" spans="1:1">
      <c r="A1656" t="str">
        <f t="shared" si="25"/>
        <v/>
      </c>
    </row>
    <row r="1657" spans="1:1">
      <c r="A1657" t="str">
        <f t="shared" si="25"/>
        <v/>
      </c>
    </row>
    <row r="1658" spans="1:1">
      <c r="A1658" t="str">
        <f t="shared" si="25"/>
        <v/>
      </c>
    </row>
    <row r="1659" spans="1:1">
      <c r="A1659" t="str">
        <f t="shared" si="25"/>
        <v/>
      </c>
    </row>
    <row r="1660" spans="1:1">
      <c r="A1660" t="str">
        <f t="shared" si="25"/>
        <v/>
      </c>
    </row>
    <row r="1661" spans="1:1">
      <c r="A1661" t="str">
        <f t="shared" si="25"/>
        <v/>
      </c>
    </row>
    <row r="1662" spans="1:1">
      <c r="A1662" t="str">
        <f t="shared" si="25"/>
        <v/>
      </c>
    </row>
    <row r="1663" spans="1:1">
      <c r="A1663" t="str">
        <f t="shared" si="25"/>
        <v/>
      </c>
    </row>
    <row r="1664" spans="1:1">
      <c r="A1664" t="str">
        <f t="shared" ref="A1664:A1727" si="26">CONCATENATE(I1664, B1664)</f>
        <v/>
      </c>
    </row>
    <row r="1665" spans="1:1">
      <c r="A1665" t="str">
        <f t="shared" si="26"/>
        <v/>
      </c>
    </row>
    <row r="1666" spans="1:1">
      <c r="A1666" t="str">
        <f t="shared" si="26"/>
        <v/>
      </c>
    </row>
    <row r="1667" spans="1:1">
      <c r="A1667" t="str">
        <f t="shared" si="26"/>
        <v/>
      </c>
    </row>
    <row r="1668" spans="1:1">
      <c r="A1668" t="str">
        <f t="shared" si="26"/>
        <v/>
      </c>
    </row>
    <row r="1669" spans="1:1">
      <c r="A1669" t="str">
        <f t="shared" si="26"/>
        <v/>
      </c>
    </row>
    <row r="1670" spans="1:1">
      <c r="A1670" t="str">
        <f t="shared" si="26"/>
        <v/>
      </c>
    </row>
    <row r="1671" spans="1:1">
      <c r="A1671" t="str">
        <f t="shared" si="26"/>
        <v/>
      </c>
    </row>
    <row r="1672" spans="1:1">
      <c r="A1672" t="str">
        <f t="shared" si="26"/>
        <v/>
      </c>
    </row>
    <row r="1673" spans="1:1">
      <c r="A1673" t="str">
        <f t="shared" si="26"/>
        <v/>
      </c>
    </row>
    <row r="1674" spans="1:1">
      <c r="A1674" t="str">
        <f t="shared" si="26"/>
        <v/>
      </c>
    </row>
    <row r="1675" spans="1:1">
      <c r="A1675" t="str">
        <f t="shared" si="26"/>
        <v/>
      </c>
    </row>
    <row r="1676" spans="1:1">
      <c r="A1676" t="str">
        <f t="shared" si="26"/>
        <v/>
      </c>
    </row>
    <row r="1677" spans="1:1">
      <c r="A1677" t="str">
        <f t="shared" si="26"/>
        <v/>
      </c>
    </row>
    <row r="1678" spans="1:1">
      <c r="A1678" t="str">
        <f t="shared" si="26"/>
        <v/>
      </c>
    </row>
    <row r="1679" spans="1:1">
      <c r="A1679" t="str">
        <f t="shared" si="26"/>
        <v/>
      </c>
    </row>
    <row r="1680" spans="1:1">
      <c r="A1680" t="str">
        <f t="shared" si="26"/>
        <v/>
      </c>
    </row>
    <row r="1681" spans="1:1">
      <c r="A1681" t="str">
        <f t="shared" si="26"/>
        <v/>
      </c>
    </row>
    <row r="1682" spans="1:1">
      <c r="A1682" t="str">
        <f t="shared" si="26"/>
        <v/>
      </c>
    </row>
    <row r="1683" spans="1:1">
      <c r="A1683" t="str">
        <f t="shared" si="26"/>
        <v/>
      </c>
    </row>
    <row r="1684" spans="1:1">
      <c r="A1684" t="str">
        <f t="shared" si="26"/>
        <v/>
      </c>
    </row>
    <row r="1685" spans="1:1">
      <c r="A1685" t="str">
        <f t="shared" si="26"/>
        <v/>
      </c>
    </row>
    <row r="1686" spans="1:1">
      <c r="A1686" t="str">
        <f t="shared" si="26"/>
        <v/>
      </c>
    </row>
    <row r="1687" spans="1:1">
      <c r="A1687" t="str">
        <f t="shared" si="26"/>
        <v/>
      </c>
    </row>
    <row r="1688" spans="1:1">
      <c r="A1688" t="str">
        <f t="shared" si="26"/>
        <v/>
      </c>
    </row>
    <row r="1689" spans="1:1">
      <c r="A1689" t="str">
        <f t="shared" si="26"/>
        <v/>
      </c>
    </row>
    <row r="1690" spans="1:1">
      <c r="A1690" t="str">
        <f t="shared" si="26"/>
        <v/>
      </c>
    </row>
    <row r="1691" spans="1:1">
      <c r="A1691" t="str">
        <f t="shared" si="26"/>
        <v/>
      </c>
    </row>
    <row r="1692" spans="1:1">
      <c r="A1692" t="str">
        <f t="shared" si="26"/>
        <v/>
      </c>
    </row>
    <row r="1693" spans="1:1">
      <c r="A1693" t="str">
        <f t="shared" si="26"/>
        <v/>
      </c>
    </row>
    <row r="1694" spans="1:1">
      <c r="A1694" t="str">
        <f t="shared" si="26"/>
        <v/>
      </c>
    </row>
    <row r="1695" spans="1:1">
      <c r="A1695" t="str">
        <f t="shared" si="26"/>
        <v/>
      </c>
    </row>
    <row r="1696" spans="1:1">
      <c r="A1696" t="str">
        <f t="shared" si="26"/>
        <v/>
      </c>
    </row>
    <row r="1697" spans="1:1">
      <c r="A1697" t="str">
        <f t="shared" si="26"/>
        <v/>
      </c>
    </row>
    <row r="1698" spans="1:1">
      <c r="A1698" t="str">
        <f t="shared" si="26"/>
        <v/>
      </c>
    </row>
    <row r="1699" spans="1:1">
      <c r="A1699" t="str">
        <f t="shared" si="26"/>
        <v/>
      </c>
    </row>
    <row r="1700" spans="1:1">
      <c r="A1700" t="str">
        <f t="shared" si="26"/>
        <v/>
      </c>
    </row>
    <row r="1701" spans="1:1">
      <c r="A1701" t="str">
        <f t="shared" si="26"/>
        <v/>
      </c>
    </row>
    <row r="1702" spans="1:1">
      <c r="A1702" t="str">
        <f t="shared" si="26"/>
        <v/>
      </c>
    </row>
    <row r="1703" spans="1:1">
      <c r="A1703" t="str">
        <f t="shared" si="26"/>
        <v/>
      </c>
    </row>
    <row r="1704" spans="1:1">
      <c r="A1704" t="str">
        <f t="shared" si="26"/>
        <v/>
      </c>
    </row>
    <row r="1705" spans="1:1">
      <c r="A1705" t="str">
        <f t="shared" si="26"/>
        <v/>
      </c>
    </row>
    <row r="1706" spans="1:1">
      <c r="A1706" t="str">
        <f t="shared" si="26"/>
        <v/>
      </c>
    </row>
    <row r="1707" spans="1:1">
      <c r="A1707" t="str">
        <f t="shared" si="26"/>
        <v/>
      </c>
    </row>
    <row r="1708" spans="1:1">
      <c r="A1708" t="str">
        <f t="shared" si="26"/>
        <v/>
      </c>
    </row>
    <row r="1709" spans="1:1">
      <c r="A1709" t="str">
        <f t="shared" si="26"/>
        <v/>
      </c>
    </row>
    <row r="1710" spans="1:1">
      <c r="A1710" t="str">
        <f t="shared" si="26"/>
        <v/>
      </c>
    </row>
    <row r="1711" spans="1:1">
      <c r="A1711" t="str">
        <f t="shared" si="26"/>
        <v/>
      </c>
    </row>
    <row r="1712" spans="1:1">
      <c r="A1712" t="str">
        <f t="shared" si="26"/>
        <v/>
      </c>
    </row>
    <row r="1713" spans="1:1">
      <c r="A1713" t="str">
        <f t="shared" si="26"/>
        <v/>
      </c>
    </row>
    <row r="1714" spans="1:1">
      <c r="A1714" t="str">
        <f t="shared" si="26"/>
        <v/>
      </c>
    </row>
    <row r="1715" spans="1:1">
      <c r="A1715" t="str">
        <f t="shared" si="26"/>
        <v/>
      </c>
    </row>
    <row r="1716" spans="1:1">
      <c r="A1716" t="str">
        <f t="shared" si="26"/>
        <v/>
      </c>
    </row>
    <row r="1717" spans="1:1">
      <c r="A1717" t="str">
        <f t="shared" si="26"/>
        <v/>
      </c>
    </row>
    <row r="1718" spans="1:1">
      <c r="A1718" t="str">
        <f t="shared" si="26"/>
        <v/>
      </c>
    </row>
    <row r="1719" spans="1:1">
      <c r="A1719" t="str">
        <f t="shared" si="26"/>
        <v/>
      </c>
    </row>
    <row r="1720" spans="1:1">
      <c r="A1720" t="str">
        <f t="shared" si="26"/>
        <v/>
      </c>
    </row>
    <row r="1721" spans="1:1">
      <c r="A1721" t="str">
        <f t="shared" si="26"/>
        <v/>
      </c>
    </row>
    <row r="1722" spans="1:1">
      <c r="A1722" t="str">
        <f t="shared" si="26"/>
        <v/>
      </c>
    </row>
    <row r="1723" spans="1:1">
      <c r="A1723" t="str">
        <f t="shared" si="26"/>
        <v/>
      </c>
    </row>
    <row r="1724" spans="1:1">
      <c r="A1724" t="str">
        <f t="shared" si="26"/>
        <v/>
      </c>
    </row>
    <row r="1725" spans="1:1">
      <c r="A1725" t="str">
        <f t="shared" si="26"/>
        <v/>
      </c>
    </row>
    <row r="1726" spans="1:1">
      <c r="A1726" t="str">
        <f t="shared" si="26"/>
        <v/>
      </c>
    </row>
    <row r="1727" spans="1:1">
      <c r="A1727" t="str">
        <f t="shared" si="26"/>
        <v/>
      </c>
    </row>
    <row r="1728" spans="1:1">
      <c r="A1728" t="str">
        <f t="shared" ref="A1728:A1791" si="27">CONCATENATE(I1728, B1728)</f>
        <v/>
      </c>
    </row>
    <row r="1729" spans="1:1">
      <c r="A1729" t="str">
        <f t="shared" si="27"/>
        <v/>
      </c>
    </row>
    <row r="1730" spans="1:1">
      <c r="A1730" t="str">
        <f t="shared" si="27"/>
        <v/>
      </c>
    </row>
    <row r="1731" spans="1:1">
      <c r="A1731" t="str">
        <f t="shared" si="27"/>
        <v/>
      </c>
    </row>
    <row r="1732" spans="1:1">
      <c r="A1732" t="str">
        <f t="shared" si="27"/>
        <v/>
      </c>
    </row>
    <row r="1733" spans="1:1">
      <c r="A1733" t="str">
        <f t="shared" si="27"/>
        <v/>
      </c>
    </row>
    <row r="1734" spans="1:1">
      <c r="A1734" t="str">
        <f t="shared" si="27"/>
        <v/>
      </c>
    </row>
    <row r="1735" spans="1:1">
      <c r="A1735" t="str">
        <f t="shared" si="27"/>
        <v/>
      </c>
    </row>
    <row r="1736" spans="1:1">
      <c r="A1736" t="str">
        <f t="shared" si="27"/>
        <v/>
      </c>
    </row>
    <row r="1737" spans="1:1">
      <c r="A1737" t="str">
        <f t="shared" si="27"/>
        <v/>
      </c>
    </row>
    <row r="1738" spans="1:1">
      <c r="A1738" t="str">
        <f t="shared" si="27"/>
        <v/>
      </c>
    </row>
    <row r="1739" spans="1:1">
      <c r="A1739" t="str">
        <f t="shared" si="27"/>
        <v/>
      </c>
    </row>
    <row r="1740" spans="1:1">
      <c r="A1740" t="str">
        <f t="shared" si="27"/>
        <v/>
      </c>
    </row>
    <row r="1741" spans="1:1">
      <c r="A1741" t="str">
        <f t="shared" si="27"/>
        <v/>
      </c>
    </row>
    <row r="1742" spans="1:1">
      <c r="A1742" t="str">
        <f t="shared" si="27"/>
        <v/>
      </c>
    </row>
    <row r="1743" spans="1:1">
      <c r="A1743" t="str">
        <f t="shared" si="27"/>
        <v/>
      </c>
    </row>
    <row r="1744" spans="1:1">
      <c r="A1744" t="str">
        <f t="shared" si="27"/>
        <v/>
      </c>
    </row>
    <row r="1745" spans="1:1">
      <c r="A1745" t="str">
        <f t="shared" si="27"/>
        <v/>
      </c>
    </row>
    <row r="1746" spans="1:1">
      <c r="A1746" t="str">
        <f t="shared" si="27"/>
        <v/>
      </c>
    </row>
    <row r="1747" spans="1:1">
      <c r="A1747" t="str">
        <f t="shared" si="27"/>
        <v/>
      </c>
    </row>
    <row r="1748" spans="1:1">
      <c r="A1748" t="str">
        <f t="shared" si="27"/>
        <v/>
      </c>
    </row>
    <row r="1749" spans="1:1">
      <c r="A1749" t="str">
        <f t="shared" si="27"/>
        <v/>
      </c>
    </row>
    <row r="1750" spans="1:1">
      <c r="A1750" t="str">
        <f t="shared" si="27"/>
        <v/>
      </c>
    </row>
    <row r="1751" spans="1:1">
      <c r="A1751" t="str">
        <f t="shared" si="27"/>
        <v/>
      </c>
    </row>
    <row r="1752" spans="1:1">
      <c r="A1752" t="str">
        <f t="shared" si="27"/>
        <v/>
      </c>
    </row>
    <row r="1753" spans="1:1">
      <c r="A1753" t="str">
        <f t="shared" si="27"/>
        <v/>
      </c>
    </row>
    <row r="1754" spans="1:1">
      <c r="A1754" t="str">
        <f t="shared" si="27"/>
        <v/>
      </c>
    </row>
    <row r="1755" spans="1:1">
      <c r="A1755" t="str">
        <f t="shared" si="27"/>
        <v/>
      </c>
    </row>
    <row r="1756" spans="1:1">
      <c r="A1756" t="str">
        <f t="shared" si="27"/>
        <v/>
      </c>
    </row>
    <row r="1757" spans="1:1">
      <c r="A1757" t="str">
        <f t="shared" si="27"/>
        <v/>
      </c>
    </row>
    <row r="1758" spans="1:1">
      <c r="A1758" t="str">
        <f t="shared" si="27"/>
        <v/>
      </c>
    </row>
    <row r="1759" spans="1:1">
      <c r="A1759" t="str">
        <f t="shared" si="27"/>
        <v/>
      </c>
    </row>
    <row r="1760" spans="1:1">
      <c r="A1760" t="str">
        <f t="shared" si="27"/>
        <v/>
      </c>
    </row>
    <row r="1761" spans="1:1">
      <c r="A1761" t="str">
        <f t="shared" si="27"/>
        <v/>
      </c>
    </row>
    <row r="1762" spans="1:1">
      <c r="A1762" t="str">
        <f t="shared" si="27"/>
        <v/>
      </c>
    </row>
    <row r="1763" spans="1:1">
      <c r="A1763" t="str">
        <f t="shared" si="27"/>
        <v/>
      </c>
    </row>
    <row r="1764" spans="1:1">
      <c r="A1764" t="str">
        <f t="shared" si="27"/>
        <v/>
      </c>
    </row>
    <row r="1765" spans="1:1">
      <c r="A1765" t="str">
        <f t="shared" si="27"/>
        <v/>
      </c>
    </row>
    <row r="1766" spans="1:1">
      <c r="A1766" t="str">
        <f t="shared" si="27"/>
        <v/>
      </c>
    </row>
    <row r="1767" spans="1:1">
      <c r="A1767" t="str">
        <f t="shared" si="27"/>
        <v/>
      </c>
    </row>
    <row r="1768" spans="1:1">
      <c r="A1768" t="str">
        <f t="shared" si="27"/>
        <v/>
      </c>
    </row>
    <row r="1769" spans="1:1">
      <c r="A1769" t="str">
        <f t="shared" si="27"/>
        <v/>
      </c>
    </row>
    <row r="1770" spans="1:1">
      <c r="A1770" t="str">
        <f t="shared" si="27"/>
        <v/>
      </c>
    </row>
    <row r="1771" spans="1:1">
      <c r="A1771" t="str">
        <f t="shared" si="27"/>
        <v/>
      </c>
    </row>
    <row r="1772" spans="1:1">
      <c r="A1772" t="str">
        <f t="shared" si="27"/>
        <v/>
      </c>
    </row>
    <row r="1773" spans="1:1">
      <c r="A1773" t="str">
        <f t="shared" si="27"/>
        <v/>
      </c>
    </row>
    <row r="1774" spans="1:1">
      <c r="A1774" t="str">
        <f t="shared" si="27"/>
        <v/>
      </c>
    </row>
    <row r="1775" spans="1:1">
      <c r="A1775" t="str">
        <f t="shared" si="27"/>
        <v/>
      </c>
    </row>
    <row r="1776" spans="1:1">
      <c r="A1776" t="str">
        <f t="shared" si="27"/>
        <v/>
      </c>
    </row>
    <row r="1777" spans="1:1">
      <c r="A1777" t="str">
        <f t="shared" si="27"/>
        <v/>
      </c>
    </row>
    <row r="1778" spans="1:1">
      <c r="A1778" t="str">
        <f t="shared" si="27"/>
        <v/>
      </c>
    </row>
    <row r="1779" spans="1:1">
      <c r="A1779" t="str">
        <f t="shared" si="27"/>
        <v/>
      </c>
    </row>
    <row r="1780" spans="1:1">
      <c r="A1780" t="str">
        <f t="shared" si="27"/>
        <v/>
      </c>
    </row>
    <row r="1781" spans="1:1">
      <c r="A1781" t="str">
        <f t="shared" si="27"/>
        <v/>
      </c>
    </row>
    <row r="1782" spans="1:1">
      <c r="A1782" t="str">
        <f t="shared" si="27"/>
        <v/>
      </c>
    </row>
    <row r="1783" spans="1:1">
      <c r="A1783" t="str">
        <f t="shared" si="27"/>
        <v/>
      </c>
    </row>
    <row r="1784" spans="1:1">
      <c r="A1784" t="str">
        <f t="shared" si="27"/>
        <v/>
      </c>
    </row>
    <row r="1785" spans="1:1">
      <c r="A1785" t="str">
        <f t="shared" si="27"/>
        <v/>
      </c>
    </row>
    <row r="1786" spans="1:1">
      <c r="A1786" t="str">
        <f t="shared" si="27"/>
        <v/>
      </c>
    </row>
    <row r="1787" spans="1:1">
      <c r="A1787" t="str">
        <f t="shared" si="27"/>
        <v/>
      </c>
    </row>
    <row r="1788" spans="1:1">
      <c r="A1788" t="str">
        <f t="shared" si="27"/>
        <v/>
      </c>
    </row>
    <row r="1789" spans="1:1">
      <c r="A1789" t="str">
        <f t="shared" si="27"/>
        <v/>
      </c>
    </row>
    <row r="1790" spans="1:1">
      <c r="A1790" t="str">
        <f t="shared" si="27"/>
        <v/>
      </c>
    </row>
    <row r="1791" spans="1:1">
      <c r="A1791" t="str">
        <f t="shared" si="27"/>
        <v/>
      </c>
    </row>
    <row r="1792" spans="1:1">
      <c r="A1792" t="str">
        <f t="shared" ref="A1792:A1855" si="28">CONCATENATE(I1792, B1792)</f>
        <v/>
      </c>
    </row>
    <row r="1793" spans="1:1">
      <c r="A1793" t="str">
        <f t="shared" si="28"/>
        <v/>
      </c>
    </row>
    <row r="1794" spans="1:1">
      <c r="A1794" t="str">
        <f t="shared" si="28"/>
        <v/>
      </c>
    </row>
    <row r="1795" spans="1:1">
      <c r="A1795" t="str">
        <f t="shared" si="28"/>
        <v/>
      </c>
    </row>
    <row r="1796" spans="1:1">
      <c r="A1796" t="str">
        <f t="shared" si="28"/>
        <v/>
      </c>
    </row>
    <row r="1797" spans="1:1">
      <c r="A1797" t="str">
        <f t="shared" si="28"/>
        <v/>
      </c>
    </row>
    <row r="1798" spans="1:1">
      <c r="A1798" t="str">
        <f t="shared" si="28"/>
        <v/>
      </c>
    </row>
    <row r="1799" spans="1:1">
      <c r="A1799" t="str">
        <f t="shared" si="28"/>
        <v/>
      </c>
    </row>
    <row r="1800" spans="1:1">
      <c r="A1800" t="str">
        <f t="shared" si="28"/>
        <v/>
      </c>
    </row>
    <row r="1801" spans="1:1">
      <c r="A1801" t="str">
        <f t="shared" si="28"/>
        <v/>
      </c>
    </row>
    <row r="1802" spans="1:1">
      <c r="A1802" t="str">
        <f t="shared" si="28"/>
        <v/>
      </c>
    </row>
    <row r="1803" spans="1:1">
      <c r="A1803" t="str">
        <f t="shared" si="28"/>
        <v/>
      </c>
    </row>
    <row r="1804" spans="1:1">
      <c r="A1804" t="str">
        <f t="shared" si="28"/>
        <v/>
      </c>
    </row>
    <row r="1805" spans="1:1">
      <c r="A1805" t="str">
        <f t="shared" si="28"/>
        <v/>
      </c>
    </row>
    <row r="1806" spans="1:1">
      <c r="A1806" t="str">
        <f t="shared" si="28"/>
        <v/>
      </c>
    </row>
    <row r="1807" spans="1:1">
      <c r="A1807" t="str">
        <f t="shared" si="28"/>
        <v/>
      </c>
    </row>
    <row r="1808" spans="1:1">
      <c r="A1808" t="str">
        <f t="shared" si="28"/>
        <v/>
      </c>
    </row>
    <row r="1809" spans="1:1">
      <c r="A1809" t="str">
        <f t="shared" si="28"/>
        <v/>
      </c>
    </row>
    <row r="1810" spans="1:1">
      <c r="A1810" t="str">
        <f t="shared" si="28"/>
        <v/>
      </c>
    </row>
    <row r="1811" spans="1:1">
      <c r="A1811" t="str">
        <f t="shared" si="28"/>
        <v/>
      </c>
    </row>
    <row r="1812" spans="1:1">
      <c r="A1812" t="str">
        <f t="shared" si="28"/>
        <v/>
      </c>
    </row>
    <row r="1813" spans="1:1">
      <c r="A1813" t="str">
        <f t="shared" si="28"/>
        <v/>
      </c>
    </row>
    <row r="1814" spans="1:1">
      <c r="A1814" t="str">
        <f t="shared" si="28"/>
        <v/>
      </c>
    </row>
    <row r="1815" spans="1:1">
      <c r="A1815" t="str">
        <f t="shared" si="28"/>
        <v/>
      </c>
    </row>
    <row r="1816" spans="1:1">
      <c r="A1816" t="str">
        <f t="shared" si="28"/>
        <v/>
      </c>
    </row>
    <row r="1817" spans="1:1">
      <c r="A1817" t="str">
        <f t="shared" si="28"/>
        <v/>
      </c>
    </row>
    <row r="1818" spans="1:1">
      <c r="A1818" t="str">
        <f t="shared" si="28"/>
        <v/>
      </c>
    </row>
    <row r="1819" spans="1:1">
      <c r="A1819" t="str">
        <f t="shared" si="28"/>
        <v/>
      </c>
    </row>
    <row r="1820" spans="1:1">
      <c r="A1820" t="str">
        <f t="shared" si="28"/>
        <v/>
      </c>
    </row>
    <row r="1821" spans="1:1">
      <c r="A1821" t="str">
        <f t="shared" si="28"/>
        <v/>
      </c>
    </row>
    <row r="1822" spans="1:1">
      <c r="A1822" t="str">
        <f t="shared" si="28"/>
        <v/>
      </c>
    </row>
    <row r="1823" spans="1:1">
      <c r="A1823" t="str">
        <f t="shared" si="28"/>
        <v/>
      </c>
    </row>
    <row r="1824" spans="1:1">
      <c r="A1824" t="str">
        <f t="shared" si="28"/>
        <v/>
      </c>
    </row>
    <row r="1825" spans="1:1">
      <c r="A1825" t="str">
        <f t="shared" si="28"/>
        <v/>
      </c>
    </row>
    <row r="1826" spans="1:1">
      <c r="A1826" t="str">
        <f t="shared" si="28"/>
        <v/>
      </c>
    </row>
    <row r="1827" spans="1:1">
      <c r="A1827" t="str">
        <f t="shared" si="28"/>
        <v/>
      </c>
    </row>
    <row r="1828" spans="1:1">
      <c r="A1828" t="str">
        <f t="shared" si="28"/>
        <v/>
      </c>
    </row>
    <row r="1829" spans="1:1">
      <c r="A1829" t="str">
        <f t="shared" si="28"/>
        <v/>
      </c>
    </row>
    <row r="1830" spans="1:1">
      <c r="A1830" t="str">
        <f t="shared" si="28"/>
        <v/>
      </c>
    </row>
    <row r="1831" spans="1:1">
      <c r="A1831" t="str">
        <f t="shared" si="28"/>
        <v/>
      </c>
    </row>
    <row r="1832" spans="1:1">
      <c r="A1832" t="str">
        <f t="shared" si="28"/>
        <v/>
      </c>
    </row>
    <row r="1833" spans="1:1">
      <c r="A1833" t="str">
        <f t="shared" si="28"/>
        <v/>
      </c>
    </row>
    <row r="1834" spans="1:1">
      <c r="A1834" t="str">
        <f t="shared" si="28"/>
        <v/>
      </c>
    </row>
    <row r="1835" spans="1:1">
      <c r="A1835" t="str">
        <f t="shared" si="28"/>
        <v/>
      </c>
    </row>
    <row r="1836" spans="1:1">
      <c r="A1836" t="str">
        <f t="shared" si="28"/>
        <v/>
      </c>
    </row>
    <row r="1837" spans="1:1">
      <c r="A1837" t="str">
        <f t="shared" si="28"/>
        <v/>
      </c>
    </row>
    <row r="1838" spans="1:1">
      <c r="A1838" t="str">
        <f t="shared" si="28"/>
        <v/>
      </c>
    </row>
    <row r="1839" spans="1:1">
      <c r="A1839" t="str">
        <f t="shared" si="28"/>
        <v/>
      </c>
    </row>
    <row r="1840" spans="1:1">
      <c r="A1840" t="str">
        <f t="shared" si="28"/>
        <v/>
      </c>
    </row>
    <row r="1841" spans="1:1">
      <c r="A1841" t="str">
        <f t="shared" si="28"/>
        <v/>
      </c>
    </row>
    <row r="1842" spans="1:1">
      <c r="A1842" t="str">
        <f t="shared" si="28"/>
        <v/>
      </c>
    </row>
    <row r="1843" spans="1:1">
      <c r="A1843" t="str">
        <f t="shared" si="28"/>
        <v/>
      </c>
    </row>
    <row r="1844" spans="1:1">
      <c r="A1844" t="str">
        <f t="shared" si="28"/>
        <v/>
      </c>
    </row>
    <row r="1845" spans="1:1">
      <c r="A1845" t="str">
        <f t="shared" si="28"/>
        <v/>
      </c>
    </row>
    <row r="1846" spans="1:1">
      <c r="A1846" t="str">
        <f t="shared" si="28"/>
        <v/>
      </c>
    </row>
    <row r="1847" spans="1:1">
      <c r="A1847" t="str">
        <f t="shared" si="28"/>
        <v/>
      </c>
    </row>
    <row r="1848" spans="1:1">
      <c r="A1848" t="str">
        <f t="shared" si="28"/>
        <v/>
      </c>
    </row>
    <row r="1849" spans="1:1">
      <c r="A1849" t="str">
        <f t="shared" si="28"/>
        <v/>
      </c>
    </row>
    <row r="1850" spans="1:1">
      <c r="A1850" t="str">
        <f t="shared" si="28"/>
        <v/>
      </c>
    </row>
    <row r="1851" spans="1:1">
      <c r="A1851" t="str">
        <f t="shared" si="28"/>
        <v/>
      </c>
    </row>
    <row r="1852" spans="1:1">
      <c r="A1852" t="str">
        <f t="shared" si="28"/>
        <v/>
      </c>
    </row>
    <row r="1853" spans="1:1">
      <c r="A1853" t="str">
        <f t="shared" si="28"/>
        <v/>
      </c>
    </row>
    <row r="1854" spans="1:1">
      <c r="A1854" t="str">
        <f t="shared" si="28"/>
        <v/>
      </c>
    </row>
    <row r="1855" spans="1:1">
      <c r="A1855" t="str">
        <f t="shared" si="28"/>
        <v/>
      </c>
    </row>
    <row r="1856" spans="1:1">
      <c r="A1856" t="str">
        <f t="shared" ref="A1856:A1919" si="29">CONCATENATE(I1856, B1856)</f>
        <v/>
      </c>
    </row>
    <row r="1857" spans="1:1">
      <c r="A1857" t="str">
        <f t="shared" si="29"/>
        <v/>
      </c>
    </row>
    <row r="1858" spans="1:1">
      <c r="A1858" t="str">
        <f t="shared" si="29"/>
        <v/>
      </c>
    </row>
    <row r="1859" spans="1:1">
      <c r="A1859" t="str">
        <f t="shared" si="29"/>
        <v/>
      </c>
    </row>
    <row r="1860" spans="1:1">
      <c r="A1860" t="str">
        <f t="shared" si="29"/>
        <v/>
      </c>
    </row>
    <row r="1861" spans="1:1">
      <c r="A1861" t="str">
        <f t="shared" si="29"/>
        <v/>
      </c>
    </row>
    <row r="1862" spans="1:1">
      <c r="A1862" t="str">
        <f t="shared" si="29"/>
        <v/>
      </c>
    </row>
    <row r="1863" spans="1:1">
      <c r="A1863" t="str">
        <f t="shared" si="29"/>
        <v/>
      </c>
    </row>
    <row r="1864" spans="1:1">
      <c r="A1864" t="str">
        <f t="shared" si="29"/>
        <v/>
      </c>
    </row>
    <row r="1865" spans="1:1">
      <c r="A1865" t="str">
        <f t="shared" si="29"/>
        <v/>
      </c>
    </row>
    <row r="1866" spans="1:1">
      <c r="A1866" t="str">
        <f t="shared" si="29"/>
        <v/>
      </c>
    </row>
    <row r="1867" spans="1:1">
      <c r="A1867" t="str">
        <f t="shared" si="29"/>
        <v/>
      </c>
    </row>
    <row r="1868" spans="1:1">
      <c r="A1868" t="str">
        <f t="shared" si="29"/>
        <v/>
      </c>
    </row>
    <row r="1869" spans="1:1">
      <c r="A1869" t="str">
        <f t="shared" si="29"/>
        <v/>
      </c>
    </row>
    <row r="1870" spans="1:1">
      <c r="A1870" t="str">
        <f t="shared" si="29"/>
        <v/>
      </c>
    </row>
    <row r="1871" spans="1:1">
      <c r="A1871" t="str">
        <f t="shared" si="29"/>
        <v/>
      </c>
    </row>
    <row r="1872" spans="1:1">
      <c r="A1872" t="str">
        <f t="shared" si="29"/>
        <v/>
      </c>
    </row>
    <row r="1873" spans="1:1">
      <c r="A1873" t="str">
        <f t="shared" si="29"/>
        <v/>
      </c>
    </row>
    <row r="1874" spans="1:1">
      <c r="A1874" t="str">
        <f t="shared" si="29"/>
        <v/>
      </c>
    </row>
    <row r="1875" spans="1:1">
      <c r="A1875" t="str">
        <f t="shared" si="29"/>
        <v/>
      </c>
    </row>
    <row r="1876" spans="1:1">
      <c r="A1876" t="str">
        <f t="shared" si="29"/>
        <v/>
      </c>
    </row>
    <row r="1877" spans="1:1">
      <c r="A1877" t="str">
        <f t="shared" si="29"/>
        <v/>
      </c>
    </row>
    <row r="1878" spans="1:1">
      <c r="A1878" t="str">
        <f t="shared" si="29"/>
        <v/>
      </c>
    </row>
    <row r="1879" spans="1:1">
      <c r="A1879" t="str">
        <f t="shared" si="29"/>
        <v/>
      </c>
    </row>
    <row r="1880" spans="1:1">
      <c r="A1880" t="str">
        <f t="shared" si="29"/>
        <v/>
      </c>
    </row>
    <row r="1881" spans="1:1">
      <c r="A1881" t="str">
        <f t="shared" si="29"/>
        <v/>
      </c>
    </row>
    <row r="1882" spans="1:1">
      <c r="A1882" t="str">
        <f t="shared" si="29"/>
        <v/>
      </c>
    </row>
    <row r="1883" spans="1:1">
      <c r="A1883" t="str">
        <f t="shared" si="29"/>
        <v/>
      </c>
    </row>
    <row r="1884" spans="1:1">
      <c r="A1884" t="str">
        <f t="shared" si="29"/>
        <v/>
      </c>
    </row>
    <row r="1885" spans="1:1">
      <c r="A1885" t="str">
        <f t="shared" si="29"/>
        <v/>
      </c>
    </row>
    <row r="1886" spans="1:1">
      <c r="A1886" t="str">
        <f t="shared" si="29"/>
        <v/>
      </c>
    </row>
    <row r="1887" spans="1:1">
      <c r="A1887" t="str">
        <f t="shared" si="29"/>
        <v/>
      </c>
    </row>
    <row r="1888" spans="1:1">
      <c r="A1888" t="str">
        <f t="shared" si="29"/>
        <v/>
      </c>
    </row>
    <row r="1889" spans="1:1">
      <c r="A1889" t="str">
        <f t="shared" si="29"/>
        <v/>
      </c>
    </row>
    <row r="1890" spans="1:1">
      <c r="A1890" t="str">
        <f t="shared" si="29"/>
        <v/>
      </c>
    </row>
    <row r="1891" spans="1:1">
      <c r="A1891" t="str">
        <f t="shared" si="29"/>
        <v/>
      </c>
    </row>
    <row r="1892" spans="1:1">
      <c r="A1892" t="str">
        <f t="shared" si="29"/>
        <v/>
      </c>
    </row>
    <row r="1893" spans="1:1">
      <c r="A1893" t="str">
        <f t="shared" si="29"/>
        <v/>
      </c>
    </row>
    <row r="1894" spans="1:1">
      <c r="A1894" t="str">
        <f t="shared" si="29"/>
        <v/>
      </c>
    </row>
    <row r="1895" spans="1:1">
      <c r="A1895" t="str">
        <f t="shared" si="29"/>
        <v/>
      </c>
    </row>
    <row r="1896" spans="1:1">
      <c r="A1896" t="str">
        <f t="shared" si="29"/>
        <v/>
      </c>
    </row>
    <row r="1897" spans="1:1">
      <c r="A1897" t="str">
        <f t="shared" si="29"/>
        <v/>
      </c>
    </row>
    <row r="1898" spans="1:1">
      <c r="A1898" t="str">
        <f t="shared" si="29"/>
        <v/>
      </c>
    </row>
    <row r="1899" spans="1:1">
      <c r="A1899" t="str">
        <f t="shared" si="29"/>
        <v/>
      </c>
    </row>
    <row r="1900" spans="1:1">
      <c r="A1900" t="str">
        <f t="shared" si="29"/>
        <v/>
      </c>
    </row>
    <row r="1901" spans="1:1">
      <c r="A1901" t="str">
        <f t="shared" si="29"/>
        <v/>
      </c>
    </row>
    <row r="1902" spans="1:1">
      <c r="A1902" t="str">
        <f t="shared" si="29"/>
        <v/>
      </c>
    </row>
    <row r="1903" spans="1:1">
      <c r="A1903" t="str">
        <f t="shared" si="29"/>
        <v/>
      </c>
    </row>
    <row r="1904" spans="1:1">
      <c r="A1904" t="str">
        <f t="shared" si="29"/>
        <v/>
      </c>
    </row>
    <row r="1905" spans="1:1">
      <c r="A1905" t="str">
        <f t="shared" si="29"/>
        <v/>
      </c>
    </row>
    <row r="1906" spans="1:1">
      <c r="A1906" t="str">
        <f t="shared" si="29"/>
        <v/>
      </c>
    </row>
    <row r="1907" spans="1:1">
      <c r="A1907" t="str">
        <f t="shared" si="29"/>
        <v/>
      </c>
    </row>
    <row r="1908" spans="1:1">
      <c r="A1908" t="str">
        <f t="shared" si="29"/>
        <v/>
      </c>
    </row>
    <row r="1909" spans="1:1">
      <c r="A1909" t="str">
        <f t="shared" si="29"/>
        <v/>
      </c>
    </row>
    <row r="1910" spans="1:1">
      <c r="A1910" t="str">
        <f t="shared" si="29"/>
        <v/>
      </c>
    </row>
    <row r="1911" spans="1:1">
      <c r="A1911" t="str">
        <f t="shared" si="29"/>
        <v/>
      </c>
    </row>
    <row r="1912" spans="1:1">
      <c r="A1912" t="str">
        <f t="shared" si="29"/>
        <v/>
      </c>
    </row>
    <row r="1913" spans="1:1">
      <c r="A1913" t="str">
        <f t="shared" si="29"/>
        <v/>
      </c>
    </row>
    <row r="1914" spans="1:1">
      <c r="A1914" t="str">
        <f t="shared" si="29"/>
        <v/>
      </c>
    </row>
    <row r="1915" spans="1:1">
      <c r="A1915" t="str">
        <f t="shared" si="29"/>
        <v/>
      </c>
    </row>
    <row r="1916" spans="1:1">
      <c r="A1916" t="str">
        <f t="shared" si="29"/>
        <v/>
      </c>
    </row>
    <row r="1917" spans="1:1">
      <c r="A1917" t="str">
        <f t="shared" si="29"/>
        <v/>
      </c>
    </row>
    <row r="1918" spans="1:1">
      <c r="A1918" t="str">
        <f t="shared" si="29"/>
        <v/>
      </c>
    </row>
    <row r="1919" spans="1:1">
      <c r="A1919" t="str">
        <f t="shared" si="29"/>
        <v/>
      </c>
    </row>
    <row r="1920" spans="1:1">
      <c r="A1920" t="str">
        <f t="shared" ref="A1920:A1983" si="30">CONCATENATE(I1920, B1920)</f>
        <v/>
      </c>
    </row>
    <row r="1921" spans="1:1">
      <c r="A1921" t="str">
        <f t="shared" si="30"/>
        <v/>
      </c>
    </row>
    <row r="1922" spans="1:1">
      <c r="A1922" t="str">
        <f t="shared" si="30"/>
        <v/>
      </c>
    </row>
    <row r="1923" spans="1:1">
      <c r="A1923" t="str">
        <f t="shared" si="30"/>
        <v/>
      </c>
    </row>
    <row r="1924" spans="1:1">
      <c r="A1924" t="str">
        <f t="shared" si="30"/>
        <v/>
      </c>
    </row>
    <row r="1925" spans="1:1">
      <c r="A1925" t="str">
        <f t="shared" si="30"/>
        <v/>
      </c>
    </row>
    <row r="1926" spans="1:1">
      <c r="A1926" t="str">
        <f t="shared" si="30"/>
        <v/>
      </c>
    </row>
    <row r="1927" spans="1:1">
      <c r="A1927" t="str">
        <f t="shared" si="30"/>
        <v/>
      </c>
    </row>
    <row r="1928" spans="1:1">
      <c r="A1928" t="str">
        <f t="shared" si="30"/>
        <v/>
      </c>
    </row>
    <row r="1929" spans="1:1">
      <c r="A1929" t="str">
        <f t="shared" si="30"/>
        <v/>
      </c>
    </row>
    <row r="1930" spans="1:1">
      <c r="A1930" t="str">
        <f t="shared" si="30"/>
        <v/>
      </c>
    </row>
    <row r="1931" spans="1:1">
      <c r="A1931" t="str">
        <f t="shared" si="30"/>
        <v/>
      </c>
    </row>
    <row r="1932" spans="1:1">
      <c r="A1932" t="str">
        <f t="shared" si="30"/>
        <v/>
      </c>
    </row>
    <row r="1933" spans="1:1">
      <c r="A1933" t="str">
        <f t="shared" si="30"/>
        <v/>
      </c>
    </row>
    <row r="1934" spans="1:1">
      <c r="A1934" t="str">
        <f t="shared" si="30"/>
        <v/>
      </c>
    </row>
    <row r="1935" spans="1:1">
      <c r="A1935" t="str">
        <f t="shared" si="30"/>
        <v/>
      </c>
    </row>
    <row r="1936" spans="1:1">
      <c r="A1936" t="str">
        <f t="shared" si="30"/>
        <v/>
      </c>
    </row>
    <row r="1937" spans="1:1">
      <c r="A1937" t="str">
        <f t="shared" si="30"/>
        <v/>
      </c>
    </row>
    <row r="1938" spans="1:1">
      <c r="A1938" t="str">
        <f t="shared" si="30"/>
        <v/>
      </c>
    </row>
    <row r="1939" spans="1:1">
      <c r="A1939" t="str">
        <f t="shared" si="30"/>
        <v/>
      </c>
    </row>
    <row r="1940" spans="1:1">
      <c r="A1940" t="str">
        <f t="shared" si="30"/>
        <v/>
      </c>
    </row>
    <row r="1941" spans="1:1">
      <c r="A1941" t="str">
        <f t="shared" si="30"/>
        <v/>
      </c>
    </row>
    <row r="1942" spans="1:1">
      <c r="A1942" t="str">
        <f t="shared" si="30"/>
        <v/>
      </c>
    </row>
    <row r="1943" spans="1:1">
      <c r="A1943" t="str">
        <f t="shared" si="30"/>
        <v/>
      </c>
    </row>
    <row r="1944" spans="1:1">
      <c r="A1944" t="str">
        <f t="shared" si="30"/>
        <v/>
      </c>
    </row>
    <row r="1945" spans="1:1">
      <c r="A1945" t="str">
        <f t="shared" si="30"/>
        <v/>
      </c>
    </row>
    <row r="1946" spans="1:1">
      <c r="A1946" t="str">
        <f t="shared" si="30"/>
        <v/>
      </c>
    </row>
    <row r="1947" spans="1:1">
      <c r="A1947" t="str">
        <f t="shared" si="30"/>
        <v/>
      </c>
    </row>
    <row r="1948" spans="1:1">
      <c r="A1948" t="str">
        <f t="shared" si="30"/>
        <v/>
      </c>
    </row>
    <row r="1949" spans="1:1">
      <c r="A1949" t="str">
        <f t="shared" si="30"/>
        <v/>
      </c>
    </row>
    <row r="1950" spans="1:1">
      <c r="A1950" t="str">
        <f t="shared" si="30"/>
        <v/>
      </c>
    </row>
    <row r="1951" spans="1:1">
      <c r="A1951" t="str">
        <f t="shared" si="30"/>
        <v/>
      </c>
    </row>
    <row r="1952" spans="1:1">
      <c r="A1952" t="str">
        <f t="shared" si="30"/>
        <v/>
      </c>
    </row>
    <row r="1953" spans="1:1">
      <c r="A1953" t="str">
        <f t="shared" si="30"/>
        <v/>
      </c>
    </row>
    <row r="1954" spans="1:1">
      <c r="A1954" t="str">
        <f t="shared" si="30"/>
        <v/>
      </c>
    </row>
    <row r="1955" spans="1:1">
      <c r="A1955" t="str">
        <f t="shared" si="30"/>
        <v/>
      </c>
    </row>
    <row r="1956" spans="1:1">
      <c r="A1956" t="str">
        <f t="shared" si="30"/>
        <v/>
      </c>
    </row>
    <row r="1957" spans="1:1">
      <c r="A1957" t="str">
        <f t="shared" si="30"/>
        <v/>
      </c>
    </row>
    <row r="1958" spans="1:1">
      <c r="A1958" t="str">
        <f t="shared" si="30"/>
        <v/>
      </c>
    </row>
    <row r="1959" spans="1:1">
      <c r="A1959" t="str">
        <f t="shared" si="30"/>
        <v/>
      </c>
    </row>
    <row r="1960" spans="1:1">
      <c r="A1960" t="str">
        <f t="shared" si="30"/>
        <v/>
      </c>
    </row>
    <row r="1961" spans="1:1">
      <c r="A1961" t="str">
        <f t="shared" si="30"/>
        <v/>
      </c>
    </row>
    <row r="1962" spans="1:1">
      <c r="A1962" t="str">
        <f t="shared" si="30"/>
        <v/>
      </c>
    </row>
    <row r="1963" spans="1:1">
      <c r="A1963" t="str">
        <f t="shared" si="30"/>
        <v/>
      </c>
    </row>
    <row r="1964" spans="1:1">
      <c r="A1964" t="str">
        <f t="shared" si="30"/>
        <v/>
      </c>
    </row>
    <row r="1965" spans="1:1">
      <c r="A1965" t="str">
        <f t="shared" si="30"/>
        <v/>
      </c>
    </row>
    <row r="1966" spans="1:1">
      <c r="A1966" t="str">
        <f t="shared" si="30"/>
        <v/>
      </c>
    </row>
    <row r="1967" spans="1:1">
      <c r="A1967" t="str">
        <f t="shared" si="30"/>
        <v/>
      </c>
    </row>
    <row r="1968" spans="1:1">
      <c r="A1968" t="str">
        <f t="shared" si="30"/>
        <v/>
      </c>
    </row>
    <row r="1969" spans="1:1">
      <c r="A1969" t="str">
        <f t="shared" si="30"/>
        <v/>
      </c>
    </row>
    <row r="1970" spans="1:1">
      <c r="A1970" t="str">
        <f t="shared" si="30"/>
        <v/>
      </c>
    </row>
    <row r="1971" spans="1:1">
      <c r="A1971" t="str">
        <f t="shared" si="30"/>
        <v/>
      </c>
    </row>
    <row r="1972" spans="1:1">
      <c r="A1972" t="str">
        <f t="shared" si="30"/>
        <v/>
      </c>
    </row>
    <row r="1973" spans="1:1">
      <c r="A1973" t="str">
        <f t="shared" si="30"/>
        <v/>
      </c>
    </row>
    <row r="1974" spans="1:1">
      <c r="A1974" t="str">
        <f t="shared" si="30"/>
        <v/>
      </c>
    </row>
    <row r="1975" spans="1:1">
      <c r="A1975" t="str">
        <f t="shared" si="30"/>
        <v/>
      </c>
    </row>
    <row r="1976" spans="1:1">
      <c r="A1976" t="str">
        <f t="shared" si="30"/>
        <v/>
      </c>
    </row>
    <row r="1977" spans="1:1">
      <c r="A1977" t="str">
        <f t="shared" si="30"/>
        <v/>
      </c>
    </row>
    <row r="1978" spans="1:1">
      <c r="A1978" t="str">
        <f t="shared" si="30"/>
        <v/>
      </c>
    </row>
    <row r="1979" spans="1:1">
      <c r="A1979" t="str">
        <f t="shared" si="30"/>
        <v/>
      </c>
    </row>
    <row r="1980" spans="1:1">
      <c r="A1980" t="str">
        <f t="shared" si="30"/>
        <v/>
      </c>
    </row>
    <row r="1981" spans="1:1">
      <c r="A1981" t="str">
        <f t="shared" si="30"/>
        <v/>
      </c>
    </row>
    <row r="1982" spans="1:1">
      <c r="A1982" t="str">
        <f t="shared" si="30"/>
        <v/>
      </c>
    </row>
    <row r="1983" spans="1:1">
      <c r="A1983" t="str">
        <f t="shared" si="30"/>
        <v/>
      </c>
    </row>
    <row r="1984" spans="1:1">
      <c r="A1984" t="str">
        <f t="shared" ref="A1984:A2047" si="31">CONCATENATE(I1984, B1984)</f>
        <v/>
      </c>
    </row>
    <row r="1985" spans="1:1">
      <c r="A1985" t="str">
        <f t="shared" si="31"/>
        <v/>
      </c>
    </row>
    <row r="1986" spans="1:1">
      <c r="A1986" t="str">
        <f t="shared" si="31"/>
        <v/>
      </c>
    </row>
    <row r="1987" spans="1:1">
      <c r="A1987" t="str">
        <f t="shared" si="31"/>
        <v/>
      </c>
    </row>
    <row r="1988" spans="1:1">
      <c r="A1988" t="str">
        <f t="shared" si="31"/>
        <v/>
      </c>
    </row>
    <row r="1989" spans="1:1">
      <c r="A1989" t="str">
        <f t="shared" si="31"/>
        <v/>
      </c>
    </row>
    <row r="1990" spans="1:1">
      <c r="A1990" t="str">
        <f t="shared" si="31"/>
        <v/>
      </c>
    </row>
    <row r="1991" spans="1:1">
      <c r="A1991" t="str">
        <f t="shared" si="31"/>
        <v/>
      </c>
    </row>
    <row r="1992" spans="1:1">
      <c r="A1992" t="str">
        <f t="shared" si="31"/>
        <v/>
      </c>
    </row>
    <row r="1993" spans="1:1">
      <c r="A1993" t="str">
        <f t="shared" si="31"/>
        <v/>
      </c>
    </row>
    <row r="1994" spans="1:1">
      <c r="A1994" t="str">
        <f t="shared" si="31"/>
        <v/>
      </c>
    </row>
    <row r="1995" spans="1:1">
      <c r="A1995" t="str">
        <f t="shared" si="31"/>
        <v/>
      </c>
    </row>
    <row r="1996" spans="1:1">
      <c r="A1996" t="str">
        <f t="shared" si="31"/>
        <v/>
      </c>
    </row>
    <row r="1997" spans="1:1">
      <c r="A1997" t="str">
        <f t="shared" si="31"/>
        <v/>
      </c>
    </row>
    <row r="1998" spans="1:1">
      <c r="A1998" t="str">
        <f t="shared" si="31"/>
        <v/>
      </c>
    </row>
    <row r="1999" spans="1:1">
      <c r="A1999" t="str">
        <f t="shared" si="31"/>
        <v/>
      </c>
    </row>
    <row r="2000" spans="1:1">
      <c r="A2000" t="str">
        <f t="shared" si="31"/>
        <v/>
      </c>
    </row>
    <row r="2001" spans="1:1">
      <c r="A2001" t="str">
        <f t="shared" si="31"/>
        <v/>
      </c>
    </row>
    <row r="2002" spans="1:1">
      <c r="A2002" t="str">
        <f t="shared" si="31"/>
        <v/>
      </c>
    </row>
    <row r="2003" spans="1:1">
      <c r="A2003" t="str">
        <f t="shared" si="31"/>
        <v/>
      </c>
    </row>
    <row r="2004" spans="1:1">
      <c r="A2004" t="str">
        <f t="shared" si="31"/>
        <v/>
      </c>
    </row>
    <row r="2005" spans="1:1">
      <c r="A2005" t="str">
        <f t="shared" si="31"/>
        <v/>
      </c>
    </row>
    <row r="2006" spans="1:1">
      <c r="A2006" t="str">
        <f t="shared" si="31"/>
        <v/>
      </c>
    </row>
    <row r="2007" spans="1:1">
      <c r="A2007" t="str">
        <f t="shared" si="31"/>
        <v/>
      </c>
    </row>
    <row r="2008" spans="1:1">
      <c r="A2008" t="str">
        <f t="shared" si="31"/>
        <v/>
      </c>
    </row>
    <row r="2009" spans="1:1">
      <c r="A2009" t="str">
        <f t="shared" si="31"/>
        <v/>
      </c>
    </row>
    <row r="2010" spans="1:1">
      <c r="A2010" t="str">
        <f t="shared" si="31"/>
        <v/>
      </c>
    </row>
    <row r="2011" spans="1:1">
      <c r="A2011" t="str">
        <f t="shared" si="31"/>
        <v/>
      </c>
    </row>
    <row r="2012" spans="1:1">
      <c r="A2012" t="str">
        <f t="shared" si="31"/>
        <v/>
      </c>
    </row>
    <row r="2013" spans="1:1">
      <c r="A2013" t="str">
        <f t="shared" si="31"/>
        <v/>
      </c>
    </row>
    <row r="2014" spans="1:1">
      <c r="A2014" t="str">
        <f t="shared" si="31"/>
        <v/>
      </c>
    </row>
    <row r="2015" spans="1:1">
      <c r="A2015" t="str">
        <f t="shared" si="31"/>
        <v/>
      </c>
    </row>
    <row r="2016" spans="1:1">
      <c r="A2016" t="str">
        <f t="shared" si="31"/>
        <v/>
      </c>
    </row>
    <row r="2017" spans="1:1">
      <c r="A2017" t="str">
        <f t="shared" si="31"/>
        <v/>
      </c>
    </row>
    <row r="2018" spans="1:1">
      <c r="A2018" t="str">
        <f t="shared" si="31"/>
        <v/>
      </c>
    </row>
    <row r="2019" spans="1:1">
      <c r="A2019" t="str">
        <f t="shared" si="31"/>
        <v/>
      </c>
    </row>
    <row r="2020" spans="1:1">
      <c r="A2020" t="str">
        <f t="shared" si="31"/>
        <v/>
      </c>
    </row>
    <row r="2021" spans="1:1">
      <c r="A2021" t="str">
        <f t="shared" si="31"/>
        <v/>
      </c>
    </row>
    <row r="2022" spans="1:1">
      <c r="A2022" t="str">
        <f t="shared" si="31"/>
        <v/>
      </c>
    </row>
    <row r="2023" spans="1:1">
      <c r="A2023" t="str">
        <f t="shared" si="31"/>
        <v/>
      </c>
    </row>
    <row r="2024" spans="1:1">
      <c r="A2024" t="str">
        <f t="shared" si="31"/>
        <v/>
      </c>
    </row>
    <row r="2025" spans="1:1">
      <c r="A2025" t="str">
        <f t="shared" si="31"/>
        <v/>
      </c>
    </row>
    <row r="2026" spans="1:1">
      <c r="A2026" t="str">
        <f t="shared" si="31"/>
        <v/>
      </c>
    </row>
    <row r="2027" spans="1:1">
      <c r="A2027" t="str">
        <f t="shared" si="31"/>
        <v/>
      </c>
    </row>
    <row r="2028" spans="1:1">
      <c r="A2028" t="str">
        <f t="shared" si="31"/>
        <v/>
      </c>
    </row>
    <row r="2029" spans="1:1">
      <c r="A2029" t="str">
        <f t="shared" si="31"/>
        <v/>
      </c>
    </row>
    <row r="2030" spans="1:1">
      <c r="A2030" t="str">
        <f t="shared" si="31"/>
        <v/>
      </c>
    </row>
    <row r="2031" spans="1:1">
      <c r="A2031" t="str">
        <f t="shared" si="31"/>
        <v/>
      </c>
    </row>
    <row r="2032" spans="1:1">
      <c r="A2032" t="str">
        <f t="shared" si="31"/>
        <v/>
      </c>
    </row>
    <row r="2033" spans="1:1">
      <c r="A2033" t="str">
        <f t="shared" si="31"/>
        <v/>
      </c>
    </row>
    <row r="2034" spans="1:1">
      <c r="A2034" t="str">
        <f t="shared" si="31"/>
        <v/>
      </c>
    </row>
    <row r="2035" spans="1:1">
      <c r="A2035" t="str">
        <f t="shared" si="31"/>
        <v/>
      </c>
    </row>
    <row r="2036" spans="1:1">
      <c r="A2036" t="str">
        <f t="shared" si="31"/>
        <v/>
      </c>
    </row>
    <row r="2037" spans="1:1">
      <c r="A2037" t="str">
        <f t="shared" si="31"/>
        <v/>
      </c>
    </row>
    <row r="2038" spans="1:1">
      <c r="A2038" t="str">
        <f t="shared" si="31"/>
        <v/>
      </c>
    </row>
    <row r="2039" spans="1:1">
      <c r="A2039" t="str">
        <f t="shared" si="31"/>
        <v/>
      </c>
    </row>
    <row r="2040" spans="1:1">
      <c r="A2040" t="str">
        <f t="shared" si="31"/>
        <v/>
      </c>
    </row>
    <row r="2041" spans="1:1">
      <c r="A2041" t="str">
        <f t="shared" si="31"/>
        <v/>
      </c>
    </row>
    <row r="2042" spans="1:1">
      <c r="A2042" t="str">
        <f t="shared" si="31"/>
        <v/>
      </c>
    </row>
    <row r="2043" spans="1:1">
      <c r="A2043" t="str">
        <f t="shared" si="31"/>
        <v/>
      </c>
    </row>
    <row r="2044" spans="1:1">
      <c r="A2044" t="str">
        <f t="shared" si="31"/>
        <v/>
      </c>
    </row>
    <row r="2045" spans="1:1">
      <c r="A2045" t="str">
        <f t="shared" si="31"/>
        <v/>
      </c>
    </row>
    <row r="2046" spans="1:1">
      <c r="A2046" t="str">
        <f t="shared" si="31"/>
        <v/>
      </c>
    </row>
    <row r="2047" spans="1:1">
      <c r="A2047" t="str">
        <f t="shared" si="31"/>
        <v/>
      </c>
    </row>
    <row r="2048" spans="1:1">
      <c r="A2048" t="str">
        <f t="shared" ref="A2048:A2111" si="32">CONCATENATE(I2048, B2048)</f>
        <v/>
      </c>
    </row>
    <row r="2049" spans="1:1">
      <c r="A2049" t="str">
        <f t="shared" si="32"/>
        <v/>
      </c>
    </row>
    <row r="2050" spans="1:1">
      <c r="A2050" t="str">
        <f t="shared" si="32"/>
        <v/>
      </c>
    </row>
    <row r="2051" spans="1:1">
      <c r="A2051" t="str">
        <f t="shared" si="32"/>
        <v/>
      </c>
    </row>
    <row r="2052" spans="1:1">
      <c r="A2052" t="str">
        <f t="shared" si="32"/>
        <v/>
      </c>
    </row>
    <row r="2053" spans="1:1">
      <c r="A2053" t="str">
        <f t="shared" si="32"/>
        <v/>
      </c>
    </row>
    <row r="2054" spans="1:1">
      <c r="A2054" t="str">
        <f t="shared" si="32"/>
        <v/>
      </c>
    </row>
    <row r="2055" spans="1:1">
      <c r="A2055" t="str">
        <f t="shared" si="32"/>
        <v/>
      </c>
    </row>
    <row r="2056" spans="1:1">
      <c r="A2056" t="str">
        <f t="shared" si="32"/>
        <v/>
      </c>
    </row>
    <row r="2057" spans="1:1">
      <c r="A2057" t="str">
        <f t="shared" si="32"/>
        <v/>
      </c>
    </row>
    <row r="2058" spans="1:1">
      <c r="A2058" t="str">
        <f t="shared" si="32"/>
        <v/>
      </c>
    </row>
    <row r="2059" spans="1:1">
      <c r="A2059" t="str">
        <f t="shared" si="32"/>
        <v/>
      </c>
    </row>
    <row r="2060" spans="1:1">
      <c r="A2060" t="str">
        <f t="shared" si="32"/>
        <v/>
      </c>
    </row>
    <row r="2061" spans="1:1">
      <c r="A2061" t="str">
        <f t="shared" si="32"/>
        <v/>
      </c>
    </row>
    <row r="2062" spans="1:1">
      <c r="A2062" t="str">
        <f t="shared" si="32"/>
        <v/>
      </c>
    </row>
    <row r="2063" spans="1:1">
      <c r="A2063" t="str">
        <f t="shared" si="32"/>
        <v/>
      </c>
    </row>
    <row r="2064" spans="1:1">
      <c r="A2064" t="str">
        <f t="shared" si="32"/>
        <v/>
      </c>
    </row>
    <row r="2065" spans="1:1">
      <c r="A2065" t="str">
        <f t="shared" si="32"/>
        <v/>
      </c>
    </row>
    <row r="2066" spans="1:1">
      <c r="A2066" t="str">
        <f t="shared" si="32"/>
        <v/>
      </c>
    </row>
    <row r="2067" spans="1:1">
      <c r="A2067" t="str">
        <f t="shared" si="32"/>
        <v/>
      </c>
    </row>
    <row r="2068" spans="1:1">
      <c r="A2068" t="str">
        <f t="shared" si="32"/>
        <v/>
      </c>
    </row>
    <row r="2069" spans="1:1">
      <c r="A2069" t="str">
        <f t="shared" si="32"/>
        <v/>
      </c>
    </row>
    <row r="2070" spans="1:1">
      <c r="A2070" t="str">
        <f t="shared" si="32"/>
        <v/>
      </c>
    </row>
    <row r="2071" spans="1:1">
      <c r="A2071" t="str">
        <f t="shared" si="32"/>
        <v/>
      </c>
    </row>
    <row r="2072" spans="1:1">
      <c r="A2072" t="str">
        <f t="shared" si="32"/>
        <v/>
      </c>
    </row>
    <row r="2073" spans="1:1">
      <c r="A2073" t="str">
        <f t="shared" si="32"/>
        <v/>
      </c>
    </row>
    <row r="2074" spans="1:1">
      <c r="A2074" t="str">
        <f t="shared" si="32"/>
        <v/>
      </c>
    </row>
    <row r="2075" spans="1:1">
      <c r="A2075" t="str">
        <f t="shared" si="32"/>
        <v/>
      </c>
    </row>
    <row r="2076" spans="1:1">
      <c r="A2076" t="str">
        <f t="shared" si="32"/>
        <v/>
      </c>
    </row>
    <row r="2077" spans="1:1">
      <c r="A2077" t="str">
        <f t="shared" si="32"/>
        <v/>
      </c>
    </row>
    <row r="2078" spans="1:1">
      <c r="A2078" t="str">
        <f t="shared" si="32"/>
        <v/>
      </c>
    </row>
    <row r="2079" spans="1:1">
      <c r="A2079" t="str">
        <f t="shared" si="32"/>
        <v/>
      </c>
    </row>
    <row r="2080" spans="1:1">
      <c r="A2080" t="str">
        <f t="shared" si="32"/>
        <v/>
      </c>
    </row>
    <row r="2081" spans="1:1">
      <c r="A2081" t="str">
        <f t="shared" si="32"/>
        <v/>
      </c>
    </row>
    <row r="2082" spans="1:1">
      <c r="A2082" t="str">
        <f t="shared" si="32"/>
        <v/>
      </c>
    </row>
    <row r="2083" spans="1:1">
      <c r="A2083" t="str">
        <f t="shared" si="32"/>
        <v/>
      </c>
    </row>
    <row r="2084" spans="1:1">
      <c r="A2084" t="str">
        <f t="shared" si="32"/>
        <v/>
      </c>
    </row>
    <row r="2085" spans="1:1">
      <c r="A2085" t="str">
        <f t="shared" si="32"/>
        <v/>
      </c>
    </row>
    <row r="2086" spans="1:1">
      <c r="A2086" t="str">
        <f t="shared" si="32"/>
        <v/>
      </c>
    </row>
    <row r="2087" spans="1:1">
      <c r="A2087" t="str">
        <f t="shared" si="32"/>
        <v/>
      </c>
    </row>
    <row r="2088" spans="1:1">
      <c r="A2088" t="str">
        <f t="shared" si="32"/>
        <v/>
      </c>
    </row>
    <row r="2089" spans="1:1">
      <c r="A2089" t="str">
        <f t="shared" si="32"/>
        <v/>
      </c>
    </row>
    <row r="2090" spans="1:1">
      <c r="A2090" t="str">
        <f t="shared" si="32"/>
        <v/>
      </c>
    </row>
    <row r="2091" spans="1:1">
      <c r="A2091" t="str">
        <f t="shared" si="32"/>
        <v/>
      </c>
    </row>
    <row r="2092" spans="1:1">
      <c r="A2092" t="str">
        <f t="shared" si="32"/>
        <v/>
      </c>
    </row>
    <row r="2093" spans="1:1">
      <c r="A2093" t="str">
        <f t="shared" si="32"/>
        <v/>
      </c>
    </row>
    <row r="2094" spans="1:1">
      <c r="A2094" t="str">
        <f t="shared" si="32"/>
        <v/>
      </c>
    </row>
    <row r="2095" spans="1:1">
      <c r="A2095" t="str">
        <f t="shared" si="32"/>
        <v/>
      </c>
    </row>
    <row r="2096" spans="1:1">
      <c r="A2096" t="str">
        <f t="shared" si="32"/>
        <v/>
      </c>
    </row>
    <row r="2097" spans="1:1">
      <c r="A2097" t="str">
        <f t="shared" si="32"/>
        <v/>
      </c>
    </row>
    <row r="2098" spans="1:1">
      <c r="A2098" t="str">
        <f t="shared" si="32"/>
        <v/>
      </c>
    </row>
    <row r="2099" spans="1:1">
      <c r="A2099" t="str">
        <f t="shared" si="32"/>
        <v/>
      </c>
    </row>
    <row r="2100" spans="1:1">
      <c r="A2100" t="str">
        <f t="shared" si="32"/>
        <v/>
      </c>
    </row>
    <row r="2101" spans="1:1">
      <c r="A2101" t="str">
        <f t="shared" si="32"/>
        <v/>
      </c>
    </row>
    <row r="2102" spans="1:1">
      <c r="A2102" t="str">
        <f t="shared" si="32"/>
        <v/>
      </c>
    </row>
    <row r="2103" spans="1:1">
      <c r="A2103" t="str">
        <f t="shared" si="32"/>
        <v/>
      </c>
    </row>
    <row r="2104" spans="1:1">
      <c r="A2104" t="str">
        <f t="shared" si="32"/>
        <v/>
      </c>
    </row>
    <row r="2105" spans="1:1">
      <c r="A2105" t="str">
        <f t="shared" si="32"/>
        <v/>
      </c>
    </row>
    <row r="2106" spans="1:1">
      <c r="A2106" t="str">
        <f t="shared" si="32"/>
        <v/>
      </c>
    </row>
    <row r="2107" spans="1:1">
      <c r="A2107" t="str">
        <f t="shared" si="32"/>
        <v/>
      </c>
    </row>
    <row r="2108" spans="1:1">
      <c r="A2108" t="str">
        <f t="shared" si="32"/>
        <v/>
      </c>
    </row>
    <row r="2109" spans="1:1">
      <c r="A2109" t="str">
        <f t="shared" si="32"/>
        <v/>
      </c>
    </row>
    <row r="2110" spans="1:1">
      <c r="A2110" t="str">
        <f t="shared" si="32"/>
        <v/>
      </c>
    </row>
    <row r="2111" spans="1:1">
      <c r="A2111" t="str">
        <f t="shared" si="32"/>
        <v/>
      </c>
    </row>
    <row r="2112" spans="1:1">
      <c r="A2112" t="str">
        <f t="shared" ref="A2112:A2175" si="33">CONCATENATE(I2112, B2112)</f>
        <v/>
      </c>
    </row>
    <row r="2113" spans="1:1">
      <c r="A2113" t="str">
        <f t="shared" si="33"/>
        <v/>
      </c>
    </row>
    <row r="2114" spans="1:1">
      <c r="A2114" t="str">
        <f t="shared" si="33"/>
        <v/>
      </c>
    </row>
    <row r="2115" spans="1:1">
      <c r="A2115" t="str">
        <f t="shared" si="33"/>
        <v/>
      </c>
    </row>
    <row r="2116" spans="1:1">
      <c r="A2116" t="str">
        <f t="shared" si="33"/>
        <v/>
      </c>
    </row>
    <row r="2117" spans="1:1">
      <c r="A2117" t="str">
        <f t="shared" si="33"/>
        <v/>
      </c>
    </row>
    <row r="2118" spans="1:1">
      <c r="A2118" t="str">
        <f t="shared" si="33"/>
        <v/>
      </c>
    </row>
    <row r="2119" spans="1:1">
      <c r="A2119" t="str">
        <f t="shared" si="33"/>
        <v/>
      </c>
    </row>
    <row r="2120" spans="1:1">
      <c r="A2120" t="str">
        <f t="shared" si="33"/>
        <v/>
      </c>
    </row>
    <row r="2121" spans="1:1">
      <c r="A2121" t="str">
        <f t="shared" si="33"/>
        <v/>
      </c>
    </row>
    <row r="2122" spans="1:1">
      <c r="A2122" t="str">
        <f t="shared" si="33"/>
        <v/>
      </c>
    </row>
    <row r="2123" spans="1:1">
      <c r="A2123" t="str">
        <f t="shared" si="33"/>
        <v/>
      </c>
    </row>
    <row r="2124" spans="1:1">
      <c r="A2124" t="str">
        <f t="shared" si="33"/>
        <v/>
      </c>
    </row>
    <row r="2125" spans="1:1">
      <c r="A2125" t="str">
        <f t="shared" si="33"/>
        <v/>
      </c>
    </row>
    <row r="2126" spans="1:1">
      <c r="A2126" t="str">
        <f t="shared" si="33"/>
        <v/>
      </c>
    </row>
    <row r="2127" spans="1:1">
      <c r="A2127" t="str">
        <f t="shared" si="33"/>
        <v/>
      </c>
    </row>
    <row r="2128" spans="1:1">
      <c r="A2128" t="str">
        <f t="shared" si="33"/>
        <v/>
      </c>
    </row>
    <row r="2129" spans="1:1">
      <c r="A2129" t="str">
        <f t="shared" si="33"/>
        <v/>
      </c>
    </row>
    <row r="2130" spans="1:1">
      <c r="A2130" t="str">
        <f t="shared" si="33"/>
        <v/>
      </c>
    </row>
    <row r="2131" spans="1:1">
      <c r="A2131" t="str">
        <f t="shared" si="33"/>
        <v/>
      </c>
    </row>
    <row r="2132" spans="1:1">
      <c r="A2132" t="str">
        <f t="shared" si="33"/>
        <v/>
      </c>
    </row>
    <row r="2133" spans="1:1">
      <c r="A2133" t="str">
        <f t="shared" si="33"/>
        <v/>
      </c>
    </row>
    <row r="2134" spans="1:1">
      <c r="A2134" t="str">
        <f t="shared" si="33"/>
        <v/>
      </c>
    </row>
    <row r="2135" spans="1:1">
      <c r="A2135" t="str">
        <f t="shared" si="33"/>
        <v/>
      </c>
    </row>
    <row r="2136" spans="1:1">
      <c r="A2136" t="str">
        <f t="shared" si="33"/>
        <v/>
      </c>
    </row>
    <row r="2137" spans="1:1">
      <c r="A2137" t="str">
        <f t="shared" si="33"/>
        <v/>
      </c>
    </row>
    <row r="2138" spans="1:1">
      <c r="A2138" t="str">
        <f t="shared" si="33"/>
        <v/>
      </c>
    </row>
    <row r="2139" spans="1:1">
      <c r="A2139" t="str">
        <f t="shared" si="33"/>
        <v/>
      </c>
    </row>
    <row r="2140" spans="1:1">
      <c r="A2140" t="str">
        <f t="shared" si="33"/>
        <v/>
      </c>
    </row>
    <row r="2141" spans="1:1">
      <c r="A2141" t="str">
        <f t="shared" si="33"/>
        <v/>
      </c>
    </row>
    <row r="2142" spans="1:1">
      <c r="A2142" t="str">
        <f t="shared" si="33"/>
        <v/>
      </c>
    </row>
    <row r="2143" spans="1:1">
      <c r="A2143" t="str">
        <f t="shared" si="33"/>
        <v/>
      </c>
    </row>
    <row r="2144" spans="1:1">
      <c r="A2144" t="str">
        <f t="shared" si="33"/>
        <v/>
      </c>
    </row>
    <row r="2145" spans="1:1">
      <c r="A2145" t="str">
        <f t="shared" si="33"/>
        <v/>
      </c>
    </row>
    <row r="2146" spans="1:1">
      <c r="A2146" t="str">
        <f t="shared" si="33"/>
        <v/>
      </c>
    </row>
    <row r="2147" spans="1:1">
      <c r="A2147" t="str">
        <f t="shared" si="33"/>
        <v/>
      </c>
    </row>
    <row r="2148" spans="1:1">
      <c r="A2148" t="str">
        <f t="shared" si="33"/>
        <v/>
      </c>
    </row>
    <row r="2149" spans="1:1">
      <c r="A2149" t="str">
        <f t="shared" si="33"/>
        <v/>
      </c>
    </row>
    <row r="2150" spans="1:1">
      <c r="A2150" t="str">
        <f t="shared" si="33"/>
        <v/>
      </c>
    </row>
    <row r="2151" spans="1:1">
      <c r="A2151" t="str">
        <f t="shared" si="33"/>
        <v/>
      </c>
    </row>
    <row r="2152" spans="1:1">
      <c r="A2152" t="str">
        <f t="shared" si="33"/>
        <v/>
      </c>
    </row>
    <row r="2153" spans="1:1">
      <c r="A2153" t="str">
        <f t="shared" si="33"/>
        <v/>
      </c>
    </row>
    <row r="2154" spans="1:1">
      <c r="A2154" t="str">
        <f t="shared" si="33"/>
        <v/>
      </c>
    </row>
    <row r="2155" spans="1:1">
      <c r="A2155" t="str">
        <f t="shared" si="33"/>
        <v/>
      </c>
    </row>
    <row r="2156" spans="1:1">
      <c r="A2156" t="str">
        <f t="shared" si="33"/>
        <v/>
      </c>
    </row>
    <row r="2157" spans="1:1">
      <c r="A2157" t="str">
        <f t="shared" si="33"/>
        <v/>
      </c>
    </row>
    <row r="2158" spans="1:1">
      <c r="A2158" t="str">
        <f t="shared" si="33"/>
        <v/>
      </c>
    </row>
    <row r="2159" spans="1:1">
      <c r="A2159" t="str">
        <f t="shared" si="33"/>
        <v/>
      </c>
    </row>
    <row r="2160" spans="1:1">
      <c r="A2160" t="str">
        <f t="shared" si="33"/>
        <v/>
      </c>
    </row>
    <row r="2161" spans="1:1">
      <c r="A2161" t="str">
        <f t="shared" si="33"/>
        <v/>
      </c>
    </row>
    <row r="2162" spans="1:1">
      <c r="A2162" t="str">
        <f t="shared" si="33"/>
        <v/>
      </c>
    </row>
    <row r="2163" spans="1:1">
      <c r="A2163" t="str">
        <f t="shared" si="33"/>
        <v/>
      </c>
    </row>
    <row r="2164" spans="1:1">
      <c r="A2164" t="str">
        <f t="shared" si="33"/>
        <v/>
      </c>
    </row>
    <row r="2165" spans="1:1">
      <c r="A2165" t="str">
        <f t="shared" si="33"/>
        <v/>
      </c>
    </row>
    <row r="2166" spans="1:1">
      <c r="A2166" t="str">
        <f t="shared" si="33"/>
        <v/>
      </c>
    </row>
    <row r="2167" spans="1:1">
      <c r="A2167" t="str">
        <f t="shared" si="33"/>
        <v/>
      </c>
    </row>
    <row r="2168" spans="1:1">
      <c r="A2168" t="str">
        <f t="shared" si="33"/>
        <v/>
      </c>
    </row>
    <row r="2169" spans="1:1">
      <c r="A2169" t="str">
        <f t="shared" si="33"/>
        <v/>
      </c>
    </row>
    <row r="2170" spans="1:1">
      <c r="A2170" t="str">
        <f t="shared" si="33"/>
        <v/>
      </c>
    </row>
    <row r="2171" spans="1:1">
      <c r="A2171" t="str">
        <f t="shared" si="33"/>
        <v/>
      </c>
    </row>
    <row r="2172" spans="1:1">
      <c r="A2172" t="str">
        <f t="shared" si="33"/>
        <v/>
      </c>
    </row>
    <row r="2173" spans="1:1">
      <c r="A2173" t="str">
        <f t="shared" si="33"/>
        <v/>
      </c>
    </row>
    <row r="2174" spans="1:1">
      <c r="A2174" t="str">
        <f t="shared" si="33"/>
        <v/>
      </c>
    </row>
    <row r="2175" spans="1:1">
      <c r="A2175" t="str">
        <f t="shared" si="33"/>
        <v/>
      </c>
    </row>
    <row r="2176" spans="1:1">
      <c r="A2176" t="str">
        <f t="shared" ref="A2176:A2239" si="34">CONCATENATE(I2176, B2176)</f>
        <v/>
      </c>
    </row>
    <row r="2177" spans="1:1">
      <c r="A2177" t="str">
        <f t="shared" si="34"/>
        <v/>
      </c>
    </row>
    <row r="2178" spans="1:1">
      <c r="A2178" t="str">
        <f t="shared" si="34"/>
        <v/>
      </c>
    </row>
    <row r="2179" spans="1:1">
      <c r="A2179" t="str">
        <f t="shared" si="34"/>
        <v/>
      </c>
    </row>
    <row r="2180" spans="1:1">
      <c r="A2180" t="str">
        <f t="shared" si="34"/>
        <v/>
      </c>
    </row>
    <row r="2181" spans="1:1">
      <c r="A2181" t="str">
        <f t="shared" si="34"/>
        <v/>
      </c>
    </row>
    <row r="2182" spans="1:1">
      <c r="A2182" t="str">
        <f t="shared" si="34"/>
        <v/>
      </c>
    </row>
    <row r="2183" spans="1:1">
      <c r="A2183" t="str">
        <f t="shared" si="34"/>
        <v/>
      </c>
    </row>
    <row r="2184" spans="1:1">
      <c r="A2184" t="str">
        <f t="shared" si="34"/>
        <v/>
      </c>
    </row>
    <row r="2185" spans="1:1">
      <c r="A2185" t="str">
        <f t="shared" si="34"/>
        <v/>
      </c>
    </row>
    <row r="2186" spans="1:1">
      <c r="A2186" t="str">
        <f t="shared" si="34"/>
        <v/>
      </c>
    </row>
    <row r="2187" spans="1:1">
      <c r="A2187" t="str">
        <f t="shared" si="34"/>
        <v/>
      </c>
    </row>
    <row r="2188" spans="1:1">
      <c r="A2188" t="str">
        <f t="shared" si="34"/>
        <v/>
      </c>
    </row>
    <row r="2189" spans="1:1">
      <c r="A2189" t="str">
        <f t="shared" si="34"/>
        <v/>
      </c>
    </row>
    <row r="2190" spans="1:1">
      <c r="A2190" t="str">
        <f t="shared" si="34"/>
        <v/>
      </c>
    </row>
    <row r="2191" spans="1:1">
      <c r="A2191" t="str">
        <f t="shared" si="34"/>
        <v/>
      </c>
    </row>
    <row r="2192" spans="1:1">
      <c r="A2192" t="str">
        <f t="shared" si="34"/>
        <v/>
      </c>
    </row>
    <row r="2193" spans="1:1">
      <c r="A2193" t="str">
        <f t="shared" si="34"/>
        <v/>
      </c>
    </row>
    <row r="2194" spans="1:1">
      <c r="A2194" t="str">
        <f t="shared" si="34"/>
        <v/>
      </c>
    </row>
    <row r="2195" spans="1:1">
      <c r="A2195" t="str">
        <f t="shared" si="34"/>
        <v/>
      </c>
    </row>
    <row r="2196" spans="1:1">
      <c r="A2196" t="str">
        <f t="shared" si="34"/>
        <v/>
      </c>
    </row>
    <row r="2197" spans="1:1">
      <c r="A2197" t="str">
        <f t="shared" si="34"/>
        <v/>
      </c>
    </row>
    <row r="2198" spans="1:1">
      <c r="A2198" t="str">
        <f t="shared" si="34"/>
        <v/>
      </c>
    </row>
    <row r="2199" spans="1:1">
      <c r="A2199" t="str">
        <f t="shared" si="34"/>
        <v/>
      </c>
    </row>
    <row r="2200" spans="1:1">
      <c r="A2200" t="str">
        <f t="shared" si="34"/>
        <v/>
      </c>
    </row>
    <row r="2201" spans="1:1">
      <c r="A2201" t="str">
        <f t="shared" si="34"/>
        <v/>
      </c>
    </row>
    <row r="2202" spans="1:1">
      <c r="A2202" t="str">
        <f t="shared" si="34"/>
        <v/>
      </c>
    </row>
    <row r="2203" spans="1:1">
      <c r="A2203" t="str">
        <f t="shared" si="34"/>
        <v/>
      </c>
    </row>
    <row r="2204" spans="1:1">
      <c r="A2204" t="str">
        <f t="shared" si="34"/>
        <v/>
      </c>
    </row>
    <row r="2205" spans="1:1">
      <c r="A2205" t="str">
        <f t="shared" si="34"/>
        <v/>
      </c>
    </row>
    <row r="2206" spans="1:1">
      <c r="A2206" t="str">
        <f t="shared" si="34"/>
        <v/>
      </c>
    </row>
    <row r="2207" spans="1:1">
      <c r="A2207" t="str">
        <f t="shared" si="34"/>
        <v/>
      </c>
    </row>
    <row r="2208" spans="1:1">
      <c r="A2208" t="str">
        <f t="shared" si="34"/>
        <v/>
      </c>
    </row>
    <row r="2209" spans="1:1">
      <c r="A2209" t="str">
        <f t="shared" si="34"/>
        <v/>
      </c>
    </row>
    <row r="2210" spans="1:1">
      <c r="A2210" t="str">
        <f t="shared" si="34"/>
        <v/>
      </c>
    </row>
    <row r="2211" spans="1:1">
      <c r="A2211" t="str">
        <f t="shared" si="34"/>
        <v/>
      </c>
    </row>
    <row r="2212" spans="1:1">
      <c r="A2212" t="str">
        <f t="shared" si="34"/>
        <v/>
      </c>
    </row>
    <row r="2213" spans="1:1">
      <c r="A2213" t="str">
        <f t="shared" si="34"/>
        <v/>
      </c>
    </row>
    <row r="2214" spans="1:1">
      <c r="A2214" t="str">
        <f t="shared" si="34"/>
        <v/>
      </c>
    </row>
    <row r="2215" spans="1:1">
      <c r="A2215" t="str">
        <f t="shared" si="34"/>
        <v/>
      </c>
    </row>
    <row r="2216" spans="1:1">
      <c r="A2216" t="str">
        <f t="shared" si="34"/>
        <v/>
      </c>
    </row>
    <row r="2217" spans="1:1">
      <c r="A2217" t="str">
        <f t="shared" si="34"/>
        <v/>
      </c>
    </row>
    <row r="2218" spans="1:1">
      <c r="A2218" t="str">
        <f t="shared" si="34"/>
        <v/>
      </c>
    </row>
    <row r="2219" spans="1:1">
      <c r="A2219" t="str">
        <f t="shared" si="34"/>
        <v/>
      </c>
    </row>
    <row r="2220" spans="1:1">
      <c r="A2220" t="str">
        <f t="shared" si="34"/>
        <v/>
      </c>
    </row>
    <row r="2221" spans="1:1">
      <c r="A2221" t="str">
        <f t="shared" si="34"/>
        <v/>
      </c>
    </row>
    <row r="2222" spans="1:1">
      <c r="A2222" t="str">
        <f t="shared" si="34"/>
        <v/>
      </c>
    </row>
    <row r="2223" spans="1:1">
      <c r="A2223" t="str">
        <f t="shared" si="34"/>
        <v/>
      </c>
    </row>
    <row r="2224" spans="1:1">
      <c r="A2224" t="str">
        <f t="shared" si="34"/>
        <v/>
      </c>
    </row>
    <row r="2225" spans="1:1">
      <c r="A2225" t="str">
        <f t="shared" si="34"/>
        <v/>
      </c>
    </row>
    <row r="2226" spans="1:1">
      <c r="A2226" t="str">
        <f t="shared" si="34"/>
        <v/>
      </c>
    </row>
    <row r="2227" spans="1:1">
      <c r="A2227" t="str">
        <f t="shared" si="34"/>
        <v/>
      </c>
    </row>
    <row r="2228" spans="1:1">
      <c r="A2228" t="str">
        <f t="shared" si="34"/>
        <v/>
      </c>
    </row>
    <row r="2229" spans="1:1">
      <c r="A2229" t="str">
        <f t="shared" si="34"/>
        <v/>
      </c>
    </row>
    <row r="2230" spans="1:1">
      <c r="A2230" t="str">
        <f t="shared" si="34"/>
        <v/>
      </c>
    </row>
    <row r="2231" spans="1:1">
      <c r="A2231" t="str">
        <f t="shared" si="34"/>
        <v/>
      </c>
    </row>
    <row r="2232" spans="1:1">
      <c r="A2232" t="str">
        <f t="shared" si="34"/>
        <v/>
      </c>
    </row>
    <row r="2233" spans="1:1">
      <c r="A2233" t="str">
        <f t="shared" si="34"/>
        <v/>
      </c>
    </row>
    <row r="2234" spans="1:1">
      <c r="A2234" t="str">
        <f t="shared" si="34"/>
        <v/>
      </c>
    </row>
    <row r="2235" spans="1:1">
      <c r="A2235" t="str">
        <f t="shared" si="34"/>
        <v/>
      </c>
    </row>
    <row r="2236" spans="1:1">
      <c r="A2236" t="str">
        <f t="shared" si="34"/>
        <v/>
      </c>
    </row>
    <row r="2237" spans="1:1">
      <c r="A2237" t="str">
        <f t="shared" si="34"/>
        <v/>
      </c>
    </row>
    <row r="2238" spans="1:1">
      <c r="A2238" t="str">
        <f t="shared" si="34"/>
        <v/>
      </c>
    </row>
    <row r="2239" spans="1:1">
      <c r="A2239" t="str">
        <f t="shared" si="34"/>
        <v/>
      </c>
    </row>
    <row r="2240" spans="1:1">
      <c r="A2240" t="str">
        <f t="shared" ref="A2240:A2303" si="35">CONCATENATE(I2240, B2240)</f>
        <v/>
      </c>
    </row>
    <row r="2241" spans="1:1">
      <c r="A2241" t="str">
        <f t="shared" si="35"/>
        <v/>
      </c>
    </row>
    <row r="2242" spans="1:1">
      <c r="A2242" t="str">
        <f t="shared" si="35"/>
        <v/>
      </c>
    </row>
    <row r="2243" spans="1:1">
      <c r="A2243" t="str">
        <f t="shared" si="35"/>
        <v/>
      </c>
    </row>
    <row r="2244" spans="1:1">
      <c r="A2244" t="str">
        <f t="shared" si="35"/>
        <v/>
      </c>
    </row>
    <row r="2245" spans="1:1">
      <c r="A2245" t="str">
        <f t="shared" si="35"/>
        <v/>
      </c>
    </row>
    <row r="2246" spans="1:1">
      <c r="A2246" t="str">
        <f t="shared" si="35"/>
        <v/>
      </c>
    </row>
    <row r="2247" spans="1:1">
      <c r="A2247" t="str">
        <f t="shared" si="35"/>
        <v/>
      </c>
    </row>
    <row r="2248" spans="1:1">
      <c r="A2248" t="str">
        <f t="shared" si="35"/>
        <v/>
      </c>
    </row>
    <row r="2249" spans="1:1">
      <c r="A2249" t="str">
        <f t="shared" si="35"/>
        <v/>
      </c>
    </row>
    <row r="2250" spans="1:1">
      <c r="A2250" t="str">
        <f t="shared" si="35"/>
        <v/>
      </c>
    </row>
    <row r="2251" spans="1:1">
      <c r="A2251" t="str">
        <f t="shared" si="35"/>
        <v/>
      </c>
    </row>
    <row r="2252" spans="1:1">
      <c r="A2252" t="str">
        <f t="shared" si="35"/>
        <v/>
      </c>
    </row>
    <row r="2253" spans="1:1">
      <c r="A2253" t="str">
        <f t="shared" si="35"/>
        <v/>
      </c>
    </row>
    <row r="2254" spans="1:1">
      <c r="A2254" t="str">
        <f t="shared" si="35"/>
        <v/>
      </c>
    </row>
    <row r="2255" spans="1:1">
      <c r="A2255" t="str">
        <f t="shared" si="35"/>
        <v/>
      </c>
    </row>
    <row r="2256" spans="1:1">
      <c r="A2256" t="str">
        <f t="shared" si="35"/>
        <v/>
      </c>
    </row>
    <row r="2257" spans="1:1">
      <c r="A2257" t="str">
        <f t="shared" si="35"/>
        <v/>
      </c>
    </row>
    <row r="2258" spans="1:1">
      <c r="A2258" t="str">
        <f t="shared" si="35"/>
        <v/>
      </c>
    </row>
    <row r="2259" spans="1:1">
      <c r="A2259" t="str">
        <f t="shared" si="35"/>
        <v/>
      </c>
    </row>
    <row r="2260" spans="1:1">
      <c r="A2260" t="str">
        <f t="shared" si="35"/>
        <v/>
      </c>
    </row>
    <row r="2261" spans="1:1">
      <c r="A2261" t="str">
        <f t="shared" si="35"/>
        <v/>
      </c>
    </row>
    <row r="2262" spans="1:1">
      <c r="A2262" t="str">
        <f t="shared" si="35"/>
        <v/>
      </c>
    </row>
    <row r="2263" spans="1:1">
      <c r="A2263" t="str">
        <f t="shared" si="35"/>
        <v/>
      </c>
    </row>
    <row r="2264" spans="1:1">
      <c r="A2264" t="str">
        <f t="shared" si="35"/>
        <v/>
      </c>
    </row>
    <row r="2265" spans="1:1">
      <c r="A2265" t="str">
        <f t="shared" si="35"/>
        <v/>
      </c>
    </row>
    <row r="2266" spans="1:1">
      <c r="A2266" t="str">
        <f t="shared" si="35"/>
        <v/>
      </c>
    </row>
    <row r="2267" spans="1:1">
      <c r="A2267" t="str">
        <f t="shared" si="35"/>
        <v/>
      </c>
    </row>
    <row r="2268" spans="1:1">
      <c r="A2268" t="str">
        <f t="shared" si="35"/>
        <v/>
      </c>
    </row>
    <row r="2269" spans="1:1">
      <c r="A2269" t="str">
        <f t="shared" si="35"/>
        <v/>
      </c>
    </row>
    <row r="2270" spans="1:1">
      <c r="A2270" t="str">
        <f t="shared" si="35"/>
        <v/>
      </c>
    </row>
    <row r="2271" spans="1:1">
      <c r="A2271" t="str">
        <f t="shared" si="35"/>
        <v/>
      </c>
    </row>
    <row r="2272" spans="1:1">
      <c r="A2272" t="str">
        <f t="shared" si="35"/>
        <v/>
      </c>
    </row>
    <row r="2273" spans="1:1">
      <c r="A2273" t="str">
        <f t="shared" si="35"/>
        <v/>
      </c>
    </row>
    <row r="2274" spans="1:1">
      <c r="A2274" t="str">
        <f t="shared" si="35"/>
        <v/>
      </c>
    </row>
    <row r="2275" spans="1:1">
      <c r="A2275" t="str">
        <f t="shared" si="35"/>
        <v/>
      </c>
    </row>
    <row r="2276" spans="1:1">
      <c r="A2276" t="str">
        <f t="shared" si="35"/>
        <v/>
      </c>
    </row>
    <row r="2277" spans="1:1">
      <c r="A2277" t="str">
        <f t="shared" si="35"/>
        <v/>
      </c>
    </row>
    <row r="2278" spans="1:1">
      <c r="A2278" t="str">
        <f t="shared" si="35"/>
        <v/>
      </c>
    </row>
    <row r="2279" spans="1:1">
      <c r="A2279" t="str">
        <f t="shared" si="35"/>
        <v/>
      </c>
    </row>
    <row r="2280" spans="1:1">
      <c r="A2280" t="str">
        <f t="shared" si="35"/>
        <v/>
      </c>
    </row>
    <row r="2281" spans="1:1">
      <c r="A2281" t="str">
        <f t="shared" si="35"/>
        <v/>
      </c>
    </row>
    <row r="2282" spans="1:1">
      <c r="A2282" t="str">
        <f t="shared" si="35"/>
        <v/>
      </c>
    </row>
    <row r="2283" spans="1:1">
      <c r="A2283" t="str">
        <f t="shared" si="35"/>
        <v/>
      </c>
    </row>
    <row r="2284" spans="1:1">
      <c r="A2284" t="str">
        <f t="shared" si="35"/>
        <v/>
      </c>
    </row>
    <row r="2285" spans="1:1">
      <c r="A2285" t="str">
        <f t="shared" si="35"/>
        <v/>
      </c>
    </row>
    <row r="2286" spans="1:1">
      <c r="A2286" t="str">
        <f t="shared" si="35"/>
        <v/>
      </c>
    </row>
    <row r="2287" spans="1:1">
      <c r="A2287" t="str">
        <f t="shared" si="35"/>
        <v/>
      </c>
    </row>
    <row r="2288" spans="1:1">
      <c r="A2288" t="str">
        <f t="shared" si="35"/>
        <v/>
      </c>
    </row>
    <row r="2289" spans="1:1">
      <c r="A2289" t="str">
        <f t="shared" si="35"/>
        <v/>
      </c>
    </row>
    <row r="2290" spans="1:1">
      <c r="A2290" t="str">
        <f t="shared" si="35"/>
        <v/>
      </c>
    </row>
    <row r="2291" spans="1:1">
      <c r="A2291" t="str">
        <f t="shared" si="35"/>
        <v/>
      </c>
    </row>
    <row r="2292" spans="1:1">
      <c r="A2292" t="str">
        <f t="shared" si="35"/>
        <v/>
      </c>
    </row>
    <row r="2293" spans="1:1">
      <c r="A2293" t="str">
        <f t="shared" si="35"/>
        <v/>
      </c>
    </row>
    <row r="2294" spans="1:1">
      <c r="A2294" t="str">
        <f t="shared" si="35"/>
        <v/>
      </c>
    </row>
    <row r="2295" spans="1:1">
      <c r="A2295" t="str">
        <f t="shared" si="35"/>
        <v/>
      </c>
    </row>
    <row r="2296" spans="1:1">
      <c r="A2296" t="str">
        <f t="shared" si="35"/>
        <v/>
      </c>
    </row>
    <row r="2297" spans="1:1">
      <c r="A2297" t="str">
        <f t="shared" si="35"/>
        <v/>
      </c>
    </row>
    <row r="2298" spans="1:1">
      <c r="A2298" t="str">
        <f t="shared" si="35"/>
        <v/>
      </c>
    </row>
    <row r="2299" spans="1:1">
      <c r="A2299" t="str">
        <f t="shared" si="35"/>
        <v/>
      </c>
    </row>
    <row r="2300" spans="1:1">
      <c r="A2300" t="str">
        <f t="shared" si="35"/>
        <v/>
      </c>
    </row>
    <row r="2301" spans="1:1">
      <c r="A2301" t="str">
        <f t="shared" si="35"/>
        <v/>
      </c>
    </row>
    <row r="2302" spans="1:1">
      <c r="A2302" t="str">
        <f t="shared" si="35"/>
        <v/>
      </c>
    </row>
    <row r="2303" spans="1:1">
      <c r="A2303" t="str">
        <f t="shared" si="35"/>
        <v/>
      </c>
    </row>
    <row r="2304" spans="1:1">
      <c r="A2304" t="str">
        <f t="shared" ref="A2304:A2367" si="36">CONCATENATE(I2304, B2304)</f>
        <v/>
      </c>
    </row>
    <row r="2305" spans="1:1">
      <c r="A2305" t="str">
        <f t="shared" si="36"/>
        <v/>
      </c>
    </row>
    <row r="2306" spans="1:1">
      <c r="A2306" t="str">
        <f t="shared" si="36"/>
        <v/>
      </c>
    </row>
    <row r="2307" spans="1:1">
      <c r="A2307" t="str">
        <f t="shared" si="36"/>
        <v/>
      </c>
    </row>
    <row r="2308" spans="1:1">
      <c r="A2308" t="str">
        <f t="shared" si="36"/>
        <v/>
      </c>
    </row>
    <row r="2309" spans="1:1">
      <c r="A2309" t="str">
        <f t="shared" si="36"/>
        <v/>
      </c>
    </row>
    <row r="2310" spans="1:1">
      <c r="A2310" t="str">
        <f t="shared" si="36"/>
        <v/>
      </c>
    </row>
    <row r="2311" spans="1:1">
      <c r="A2311" t="str">
        <f t="shared" si="36"/>
        <v/>
      </c>
    </row>
    <row r="2312" spans="1:1">
      <c r="A2312" t="str">
        <f t="shared" si="36"/>
        <v/>
      </c>
    </row>
    <row r="2313" spans="1:1">
      <c r="A2313" t="str">
        <f t="shared" si="36"/>
        <v/>
      </c>
    </row>
    <row r="2314" spans="1:1">
      <c r="A2314" t="str">
        <f t="shared" si="36"/>
        <v/>
      </c>
    </row>
    <row r="2315" spans="1:1">
      <c r="A2315" t="str">
        <f t="shared" si="36"/>
        <v/>
      </c>
    </row>
    <row r="2316" spans="1:1">
      <c r="A2316" t="str">
        <f t="shared" si="36"/>
        <v/>
      </c>
    </row>
    <row r="2317" spans="1:1">
      <c r="A2317" t="str">
        <f t="shared" si="36"/>
        <v/>
      </c>
    </row>
    <row r="2318" spans="1:1">
      <c r="A2318" t="str">
        <f t="shared" si="36"/>
        <v/>
      </c>
    </row>
    <row r="2319" spans="1:1">
      <c r="A2319" t="str">
        <f t="shared" si="36"/>
        <v/>
      </c>
    </row>
    <row r="2320" spans="1:1">
      <c r="A2320" t="str">
        <f t="shared" si="36"/>
        <v/>
      </c>
    </row>
    <row r="2321" spans="1:1">
      <c r="A2321" t="str">
        <f t="shared" si="36"/>
        <v/>
      </c>
    </row>
    <row r="2322" spans="1:1">
      <c r="A2322" t="str">
        <f t="shared" si="36"/>
        <v/>
      </c>
    </row>
    <row r="2323" spans="1:1">
      <c r="A2323" t="str">
        <f t="shared" si="36"/>
        <v/>
      </c>
    </row>
    <row r="2324" spans="1:1">
      <c r="A2324" t="str">
        <f t="shared" si="36"/>
        <v/>
      </c>
    </row>
    <row r="2325" spans="1:1">
      <c r="A2325" t="str">
        <f t="shared" si="36"/>
        <v/>
      </c>
    </row>
    <row r="2326" spans="1:1">
      <c r="A2326" t="str">
        <f t="shared" si="36"/>
        <v/>
      </c>
    </row>
    <row r="2327" spans="1:1">
      <c r="A2327" t="str">
        <f t="shared" si="36"/>
        <v/>
      </c>
    </row>
    <row r="2328" spans="1:1">
      <c r="A2328" t="str">
        <f t="shared" si="36"/>
        <v/>
      </c>
    </row>
    <row r="2329" spans="1:1">
      <c r="A2329" t="str">
        <f t="shared" si="36"/>
        <v/>
      </c>
    </row>
    <row r="2330" spans="1:1">
      <c r="A2330" t="str">
        <f t="shared" si="36"/>
        <v/>
      </c>
    </row>
    <row r="2331" spans="1:1">
      <c r="A2331" t="str">
        <f t="shared" si="36"/>
        <v/>
      </c>
    </row>
    <row r="2332" spans="1:1">
      <c r="A2332" t="str">
        <f t="shared" si="36"/>
        <v/>
      </c>
    </row>
    <row r="2333" spans="1:1">
      <c r="A2333" t="str">
        <f t="shared" si="36"/>
        <v/>
      </c>
    </row>
    <row r="2334" spans="1:1">
      <c r="A2334" t="str">
        <f t="shared" si="36"/>
        <v/>
      </c>
    </row>
    <row r="2335" spans="1:1">
      <c r="A2335" t="str">
        <f t="shared" si="36"/>
        <v/>
      </c>
    </row>
    <row r="2336" spans="1:1">
      <c r="A2336" t="str">
        <f t="shared" si="36"/>
        <v/>
      </c>
    </row>
    <row r="2337" spans="1:1">
      <c r="A2337" t="str">
        <f t="shared" si="36"/>
        <v/>
      </c>
    </row>
    <row r="2338" spans="1:1">
      <c r="A2338" t="str">
        <f t="shared" si="36"/>
        <v/>
      </c>
    </row>
    <row r="2339" spans="1:1">
      <c r="A2339" t="str">
        <f t="shared" si="36"/>
        <v/>
      </c>
    </row>
    <row r="2340" spans="1:1">
      <c r="A2340" t="str">
        <f t="shared" si="36"/>
        <v/>
      </c>
    </row>
    <row r="2341" spans="1:1">
      <c r="A2341" t="str">
        <f t="shared" si="36"/>
        <v/>
      </c>
    </row>
    <row r="2342" spans="1:1">
      <c r="A2342" t="str">
        <f t="shared" si="36"/>
        <v/>
      </c>
    </row>
    <row r="2343" spans="1:1">
      <c r="A2343" t="str">
        <f t="shared" si="36"/>
        <v/>
      </c>
    </row>
    <row r="2344" spans="1:1">
      <c r="A2344" t="str">
        <f t="shared" si="36"/>
        <v/>
      </c>
    </row>
    <row r="2345" spans="1:1">
      <c r="A2345" t="str">
        <f t="shared" si="36"/>
        <v/>
      </c>
    </row>
    <row r="2346" spans="1:1">
      <c r="A2346" t="str">
        <f t="shared" si="36"/>
        <v/>
      </c>
    </row>
    <row r="2347" spans="1:1">
      <c r="A2347" t="str">
        <f t="shared" si="36"/>
        <v/>
      </c>
    </row>
    <row r="2348" spans="1:1">
      <c r="A2348" t="str">
        <f t="shared" si="36"/>
        <v/>
      </c>
    </row>
    <row r="2349" spans="1:1">
      <c r="A2349" t="str">
        <f t="shared" si="36"/>
        <v/>
      </c>
    </row>
    <row r="2350" spans="1:1">
      <c r="A2350" t="str">
        <f t="shared" si="36"/>
        <v/>
      </c>
    </row>
    <row r="2351" spans="1:1">
      <c r="A2351" t="str">
        <f t="shared" si="36"/>
        <v/>
      </c>
    </row>
    <row r="2352" spans="1:1">
      <c r="A2352" t="str">
        <f t="shared" si="36"/>
        <v/>
      </c>
    </row>
    <row r="2353" spans="1:1">
      <c r="A2353" t="str">
        <f t="shared" si="36"/>
        <v/>
      </c>
    </row>
    <row r="2354" spans="1:1">
      <c r="A2354" t="str">
        <f t="shared" si="36"/>
        <v/>
      </c>
    </row>
    <row r="2355" spans="1:1">
      <c r="A2355" t="str">
        <f t="shared" si="36"/>
        <v/>
      </c>
    </row>
    <row r="2356" spans="1:1">
      <c r="A2356" t="str">
        <f t="shared" si="36"/>
        <v/>
      </c>
    </row>
    <row r="2357" spans="1:1">
      <c r="A2357" t="str">
        <f t="shared" si="36"/>
        <v/>
      </c>
    </row>
    <row r="2358" spans="1:1">
      <c r="A2358" t="str">
        <f t="shared" si="36"/>
        <v/>
      </c>
    </row>
    <row r="2359" spans="1:1">
      <c r="A2359" t="str">
        <f t="shared" si="36"/>
        <v/>
      </c>
    </row>
    <row r="2360" spans="1:1">
      <c r="A2360" t="str">
        <f t="shared" si="36"/>
        <v/>
      </c>
    </row>
    <row r="2361" spans="1:1">
      <c r="A2361" t="str">
        <f t="shared" si="36"/>
        <v/>
      </c>
    </row>
    <row r="2362" spans="1:1">
      <c r="A2362" t="str">
        <f t="shared" si="36"/>
        <v/>
      </c>
    </row>
    <row r="2363" spans="1:1">
      <c r="A2363" t="str">
        <f t="shared" si="36"/>
        <v/>
      </c>
    </row>
    <row r="2364" spans="1:1">
      <c r="A2364" t="str">
        <f t="shared" si="36"/>
        <v/>
      </c>
    </row>
    <row r="2365" spans="1:1">
      <c r="A2365" t="str">
        <f t="shared" si="36"/>
        <v/>
      </c>
    </row>
    <row r="2366" spans="1:1">
      <c r="A2366" t="str">
        <f t="shared" si="36"/>
        <v/>
      </c>
    </row>
    <row r="2367" spans="1:1">
      <c r="A2367" t="str">
        <f t="shared" si="36"/>
        <v/>
      </c>
    </row>
    <row r="2368" spans="1:1">
      <c r="A2368" t="str">
        <f t="shared" ref="A2368:A2431" si="37">CONCATENATE(I2368, B2368)</f>
        <v/>
      </c>
    </row>
    <row r="2369" spans="1:1">
      <c r="A2369" t="str">
        <f t="shared" si="37"/>
        <v/>
      </c>
    </row>
    <row r="2370" spans="1:1">
      <c r="A2370" t="str">
        <f t="shared" si="37"/>
        <v/>
      </c>
    </row>
    <row r="2371" spans="1:1">
      <c r="A2371" t="str">
        <f t="shared" si="37"/>
        <v/>
      </c>
    </row>
    <row r="2372" spans="1:1">
      <c r="A2372" t="str">
        <f t="shared" si="37"/>
        <v/>
      </c>
    </row>
    <row r="2373" spans="1:1">
      <c r="A2373" t="str">
        <f t="shared" si="37"/>
        <v/>
      </c>
    </row>
    <row r="2374" spans="1:1">
      <c r="A2374" t="str">
        <f t="shared" si="37"/>
        <v/>
      </c>
    </row>
    <row r="2375" spans="1:1">
      <c r="A2375" t="str">
        <f t="shared" si="37"/>
        <v/>
      </c>
    </row>
    <row r="2376" spans="1:1">
      <c r="A2376" t="str">
        <f t="shared" si="37"/>
        <v/>
      </c>
    </row>
    <row r="2377" spans="1:1">
      <c r="A2377" t="str">
        <f t="shared" si="37"/>
        <v/>
      </c>
    </row>
    <row r="2378" spans="1:1">
      <c r="A2378" t="str">
        <f t="shared" si="37"/>
        <v/>
      </c>
    </row>
    <row r="2379" spans="1:1">
      <c r="A2379" t="str">
        <f t="shared" si="37"/>
        <v/>
      </c>
    </row>
    <row r="2380" spans="1:1">
      <c r="A2380" t="str">
        <f t="shared" si="37"/>
        <v/>
      </c>
    </row>
    <row r="2381" spans="1:1">
      <c r="A2381" t="str">
        <f t="shared" si="37"/>
        <v/>
      </c>
    </row>
    <row r="2382" spans="1:1">
      <c r="A2382" t="str">
        <f t="shared" si="37"/>
        <v/>
      </c>
    </row>
    <row r="2383" spans="1:1">
      <c r="A2383" t="str">
        <f t="shared" si="37"/>
        <v/>
      </c>
    </row>
    <row r="2384" spans="1:1">
      <c r="A2384" t="str">
        <f t="shared" si="37"/>
        <v/>
      </c>
    </row>
    <row r="2385" spans="1:1">
      <c r="A2385" t="str">
        <f t="shared" si="37"/>
        <v/>
      </c>
    </row>
    <row r="2386" spans="1:1">
      <c r="A2386" t="str">
        <f t="shared" si="37"/>
        <v/>
      </c>
    </row>
    <row r="2387" spans="1:1">
      <c r="A2387" t="str">
        <f t="shared" si="37"/>
        <v/>
      </c>
    </row>
    <row r="2388" spans="1:1">
      <c r="A2388" t="str">
        <f t="shared" si="37"/>
        <v/>
      </c>
    </row>
    <row r="2389" spans="1:1">
      <c r="A2389" t="str">
        <f t="shared" si="37"/>
        <v/>
      </c>
    </row>
    <row r="2390" spans="1:1">
      <c r="A2390" t="str">
        <f t="shared" si="37"/>
        <v/>
      </c>
    </row>
    <row r="2391" spans="1:1">
      <c r="A2391" t="str">
        <f t="shared" si="37"/>
        <v/>
      </c>
    </row>
    <row r="2392" spans="1:1">
      <c r="A2392" t="str">
        <f t="shared" si="37"/>
        <v/>
      </c>
    </row>
    <row r="2393" spans="1:1">
      <c r="A2393" t="str">
        <f t="shared" si="37"/>
        <v/>
      </c>
    </row>
    <row r="2394" spans="1:1">
      <c r="A2394" t="str">
        <f t="shared" si="37"/>
        <v/>
      </c>
    </row>
    <row r="2395" spans="1:1">
      <c r="A2395" t="str">
        <f t="shared" si="37"/>
        <v/>
      </c>
    </row>
    <row r="2396" spans="1:1">
      <c r="A2396" t="str">
        <f t="shared" si="37"/>
        <v/>
      </c>
    </row>
    <row r="2397" spans="1:1">
      <c r="A2397" t="str">
        <f t="shared" si="37"/>
        <v/>
      </c>
    </row>
    <row r="2398" spans="1:1">
      <c r="A2398" t="str">
        <f t="shared" si="37"/>
        <v/>
      </c>
    </row>
    <row r="2399" spans="1:1">
      <c r="A2399" t="str">
        <f t="shared" si="37"/>
        <v/>
      </c>
    </row>
    <row r="2400" spans="1:1">
      <c r="A2400" t="str">
        <f t="shared" si="37"/>
        <v/>
      </c>
    </row>
    <row r="2401" spans="1:1">
      <c r="A2401" t="str">
        <f t="shared" si="37"/>
        <v/>
      </c>
    </row>
    <row r="2402" spans="1:1">
      <c r="A2402" t="str">
        <f t="shared" si="37"/>
        <v/>
      </c>
    </row>
    <row r="2403" spans="1:1">
      <c r="A2403" t="str">
        <f t="shared" si="37"/>
        <v/>
      </c>
    </row>
    <row r="2404" spans="1:1">
      <c r="A2404" t="str">
        <f t="shared" si="37"/>
        <v/>
      </c>
    </row>
    <row r="2405" spans="1:1">
      <c r="A2405" t="str">
        <f t="shared" si="37"/>
        <v/>
      </c>
    </row>
    <row r="2406" spans="1:1">
      <c r="A2406" t="str">
        <f t="shared" si="37"/>
        <v/>
      </c>
    </row>
    <row r="2407" spans="1:1">
      <c r="A2407" t="str">
        <f t="shared" si="37"/>
        <v/>
      </c>
    </row>
    <row r="2408" spans="1:1">
      <c r="A2408" t="str">
        <f t="shared" si="37"/>
        <v/>
      </c>
    </row>
    <row r="2409" spans="1:1">
      <c r="A2409" t="str">
        <f t="shared" si="37"/>
        <v/>
      </c>
    </row>
    <row r="2410" spans="1:1">
      <c r="A2410" t="str">
        <f t="shared" si="37"/>
        <v/>
      </c>
    </row>
    <row r="2411" spans="1:1">
      <c r="A2411" t="str">
        <f t="shared" si="37"/>
        <v/>
      </c>
    </row>
    <row r="2412" spans="1:1">
      <c r="A2412" t="str">
        <f t="shared" si="37"/>
        <v/>
      </c>
    </row>
    <row r="2413" spans="1:1">
      <c r="A2413" t="str">
        <f t="shared" si="37"/>
        <v/>
      </c>
    </row>
    <row r="2414" spans="1:1">
      <c r="A2414" t="str">
        <f t="shared" si="37"/>
        <v/>
      </c>
    </row>
    <row r="2415" spans="1:1">
      <c r="A2415" t="str">
        <f t="shared" si="37"/>
        <v/>
      </c>
    </row>
    <row r="2416" spans="1:1">
      <c r="A2416" t="str">
        <f t="shared" si="37"/>
        <v/>
      </c>
    </row>
    <row r="2417" spans="1:1">
      <c r="A2417" t="str">
        <f t="shared" si="37"/>
        <v/>
      </c>
    </row>
    <row r="2418" spans="1:1">
      <c r="A2418" t="str">
        <f t="shared" si="37"/>
        <v/>
      </c>
    </row>
    <row r="2419" spans="1:1">
      <c r="A2419" t="str">
        <f t="shared" si="37"/>
        <v/>
      </c>
    </row>
    <row r="2420" spans="1:1">
      <c r="A2420" t="str">
        <f t="shared" si="37"/>
        <v/>
      </c>
    </row>
    <row r="2421" spans="1:1">
      <c r="A2421" t="str">
        <f t="shared" si="37"/>
        <v/>
      </c>
    </row>
    <row r="2422" spans="1:1">
      <c r="A2422" t="str">
        <f t="shared" si="37"/>
        <v/>
      </c>
    </row>
    <row r="2423" spans="1:1">
      <c r="A2423" t="str">
        <f t="shared" si="37"/>
        <v/>
      </c>
    </row>
    <row r="2424" spans="1:1">
      <c r="A2424" t="str">
        <f t="shared" si="37"/>
        <v/>
      </c>
    </row>
    <row r="2425" spans="1:1">
      <c r="A2425" t="str">
        <f t="shared" si="37"/>
        <v/>
      </c>
    </row>
    <row r="2426" spans="1:1">
      <c r="A2426" t="str">
        <f t="shared" si="37"/>
        <v/>
      </c>
    </row>
    <row r="2427" spans="1:1">
      <c r="A2427" t="str">
        <f t="shared" si="37"/>
        <v/>
      </c>
    </row>
    <row r="2428" spans="1:1">
      <c r="A2428" t="str">
        <f t="shared" si="37"/>
        <v/>
      </c>
    </row>
    <row r="2429" spans="1:1">
      <c r="A2429" t="str">
        <f t="shared" si="37"/>
        <v/>
      </c>
    </row>
    <row r="2430" spans="1:1">
      <c r="A2430" t="str">
        <f t="shared" si="37"/>
        <v/>
      </c>
    </row>
    <row r="2431" spans="1:1">
      <c r="A2431" t="str">
        <f t="shared" si="37"/>
        <v/>
      </c>
    </row>
    <row r="2432" spans="1:1">
      <c r="A2432" t="str">
        <f t="shared" ref="A2432:A2495" si="38">CONCATENATE(I2432, B2432)</f>
        <v/>
      </c>
    </row>
    <row r="2433" spans="1:1">
      <c r="A2433" t="str">
        <f t="shared" si="38"/>
        <v/>
      </c>
    </row>
    <row r="2434" spans="1:1">
      <c r="A2434" t="str">
        <f t="shared" si="38"/>
        <v/>
      </c>
    </row>
    <row r="2435" spans="1:1">
      <c r="A2435" t="str">
        <f t="shared" si="38"/>
        <v/>
      </c>
    </row>
    <row r="2436" spans="1:1">
      <c r="A2436" t="str">
        <f t="shared" si="38"/>
        <v/>
      </c>
    </row>
    <row r="2437" spans="1:1">
      <c r="A2437" t="str">
        <f t="shared" si="38"/>
        <v/>
      </c>
    </row>
    <row r="2438" spans="1:1">
      <c r="A2438" t="str">
        <f t="shared" si="38"/>
        <v/>
      </c>
    </row>
    <row r="2439" spans="1:1">
      <c r="A2439" t="str">
        <f t="shared" si="38"/>
        <v/>
      </c>
    </row>
    <row r="2440" spans="1:1">
      <c r="A2440" t="str">
        <f t="shared" si="38"/>
        <v/>
      </c>
    </row>
    <row r="2441" spans="1:1">
      <c r="A2441" t="str">
        <f t="shared" si="38"/>
        <v/>
      </c>
    </row>
    <row r="2442" spans="1:1">
      <c r="A2442" t="str">
        <f t="shared" si="38"/>
        <v/>
      </c>
    </row>
    <row r="2443" spans="1:1">
      <c r="A2443" t="str">
        <f t="shared" si="38"/>
        <v/>
      </c>
    </row>
    <row r="2444" spans="1:1">
      <c r="A2444" t="str">
        <f t="shared" si="38"/>
        <v/>
      </c>
    </row>
    <row r="2445" spans="1:1">
      <c r="A2445" t="str">
        <f t="shared" si="38"/>
        <v/>
      </c>
    </row>
    <row r="2446" spans="1:1">
      <c r="A2446" t="str">
        <f t="shared" si="38"/>
        <v/>
      </c>
    </row>
    <row r="2447" spans="1:1">
      <c r="A2447" t="str">
        <f t="shared" si="38"/>
        <v/>
      </c>
    </row>
    <row r="2448" spans="1:1">
      <c r="A2448" t="str">
        <f t="shared" si="38"/>
        <v/>
      </c>
    </row>
    <row r="2449" spans="1:1">
      <c r="A2449" t="str">
        <f t="shared" si="38"/>
        <v/>
      </c>
    </row>
    <row r="2450" spans="1:1">
      <c r="A2450" t="str">
        <f t="shared" si="38"/>
        <v/>
      </c>
    </row>
    <row r="2451" spans="1:1">
      <c r="A2451" t="str">
        <f t="shared" si="38"/>
        <v/>
      </c>
    </row>
    <row r="2452" spans="1:1">
      <c r="A2452" t="str">
        <f t="shared" si="38"/>
        <v/>
      </c>
    </row>
    <row r="2453" spans="1:1">
      <c r="A2453" t="str">
        <f t="shared" si="38"/>
        <v/>
      </c>
    </row>
    <row r="2454" spans="1:1">
      <c r="A2454" t="str">
        <f t="shared" si="38"/>
        <v/>
      </c>
    </row>
    <row r="2455" spans="1:1">
      <c r="A2455" t="str">
        <f t="shared" si="38"/>
        <v/>
      </c>
    </row>
    <row r="2456" spans="1:1">
      <c r="A2456" t="str">
        <f t="shared" si="38"/>
        <v/>
      </c>
    </row>
    <row r="2457" spans="1:1">
      <c r="A2457" t="str">
        <f t="shared" si="38"/>
        <v/>
      </c>
    </row>
    <row r="2458" spans="1:1">
      <c r="A2458" t="str">
        <f t="shared" si="38"/>
        <v/>
      </c>
    </row>
    <row r="2459" spans="1:1">
      <c r="A2459" t="str">
        <f t="shared" si="38"/>
        <v/>
      </c>
    </row>
    <row r="2460" spans="1:1">
      <c r="A2460" t="str">
        <f t="shared" si="38"/>
        <v/>
      </c>
    </row>
    <row r="2461" spans="1:1">
      <c r="A2461" t="str">
        <f t="shared" si="38"/>
        <v/>
      </c>
    </row>
    <row r="2462" spans="1:1">
      <c r="A2462" t="str">
        <f t="shared" si="38"/>
        <v/>
      </c>
    </row>
    <row r="2463" spans="1:1">
      <c r="A2463" t="str">
        <f t="shared" si="38"/>
        <v/>
      </c>
    </row>
    <row r="2464" spans="1:1">
      <c r="A2464" t="str">
        <f t="shared" si="38"/>
        <v/>
      </c>
    </row>
    <row r="2465" spans="1:1">
      <c r="A2465" t="str">
        <f t="shared" si="38"/>
        <v/>
      </c>
    </row>
    <row r="2466" spans="1:1">
      <c r="A2466" t="str">
        <f t="shared" si="38"/>
        <v/>
      </c>
    </row>
    <row r="2467" spans="1:1">
      <c r="A2467" t="str">
        <f t="shared" si="38"/>
        <v/>
      </c>
    </row>
    <row r="2468" spans="1:1">
      <c r="A2468" t="str">
        <f t="shared" si="38"/>
        <v/>
      </c>
    </row>
    <row r="2469" spans="1:1">
      <c r="A2469" t="str">
        <f t="shared" si="38"/>
        <v/>
      </c>
    </row>
    <row r="2470" spans="1:1">
      <c r="A2470" t="str">
        <f t="shared" si="38"/>
        <v/>
      </c>
    </row>
    <row r="2471" spans="1:1">
      <c r="A2471" t="str">
        <f t="shared" si="38"/>
        <v/>
      </c>
    </row>
    <row r="2472" spans="1:1">
      <c r="A2472" t="str">
        <f t="shared" si="38"/>
        <v/>
      </c>
    </row>
    <row r="2473" spans="1:1">
      <c r="A2473" t="str">
        <f t="shared" si="38"/>
        <v/>
      </c>
    </row>
    <row r="2474" spans="1:1">
      <c r="A2474" t="str">
        <f t="shared" si="38"/>
        <v/>
      </c>
    </row>
    <row r="2475" spans="1:1">
      <c r="A2475" t="str">
        <f t="shared" si="38"/>
        <v/>
      </c>
    </row>
    <row r="2476" spans="1:1">
      <c r="A2476" t="str">
        <f t="shared" si="38"/>
        <v/>
      </c>
    </row>
    <row r="2477" spans="1:1">
      <c r="A2477" t="str">
        <f t="shared" si="38"/>
        <v/>
      </c>
    </row>
    <row r="2478" spans="1:1">
      <c r="A2478" t="str">
        <f t="shared" si="38"/>
        <v/>
      </c>
    </row>
    <row r="2479" spans="1:1">
      <c r="A2479" t="str">
        <f t="shared" si="38"/>
        <v/>
      </c>
    </row>
    <row r="2480" spans="1:1">
      <c r="A2480" t="str">
        <f t="shared" si="38"/>
        <v/>
      </c>
    </row>
    <row r="2481" spans="1:1">
      <c r="A2481" t="str">
        <f t="shared" si="38"/>
        <v/>
      </c>
    </row>
    <row r="2482" spans="1:1">
      <c r="A2482" t="str">
        <f t="shared" si="38"/>
        <v/>
      </c>
    </row>
    <row r="2483" spans="1:1">
      <c r="A2483" t="str">
        <f t="shared" si="38"/>
        <v/>
      </c>
    </row>
    <row r="2484" spans="1:1">
      <c r="A2484" t="str">
        <f t="shared" si="38"/>
        <v/>
      </c>
    </row>
    <row r="2485" spans="1:1">
      <c r="A2485" t="str">
        <f t="shared" si="38"/>
        <v/>
      </c>
    </row>
    <row r="2486" spans="1:1">
      <c r="A2486" t="str">
        <f t="shared" si="38"/>
        <v/>
      </c>
    </row>
    <row r="2487" spans="1:1">
      <c r="A2487" t="str">
        <f t="shared" si="38"/>
        <v/>
      </c>
    </row>
    <row r="2488" spans="1:1">
      <c r="A2488" t="str">
        <f t="shared" si="38"/>
        <v/>
      </c>
    </row>
    <row r="2489" spans="1:1">
      <c r="A2489" t="str">
        <f t="shared" si="38"/>
        <v/>
      </c>
    </row>
    <row r="2490" spans="1:1">
      <c r="A2490" t="str">
        <f t="shared" si="38"/>
        <v/>
      </c>
    </row>
    <row r="2491" spans="1:1">
      <c r="A2491" t="str">
        <f t="shared" si="38"/>
        <v/>
      </c>
    </row>
    <row r="2492" spans="1:1">
      <c r="A2492" t="str">
        <f t="shared" si="38"/>
        <v/>
      </c>
    </row>
    <row r="2493" spans="1:1">
      <c r="A2493" t="str">
        <f t="shared" si="38"/>
        <v/>
      </c>
    </row>
    <row r="2494" spans="1:1">
      <c r="A2494" t="str">
        <f t="shared" si="38"/>
        <v/>
      </c>
    </row>
    <row r="2495" spans="1:1">
      <c r="A2495" t="str">
        <f t="shared" si="38"/>
        <v/>
      </c>
    </row>
    <row r="2496" spans="1:1">
      <c r="A2496" t="str">
        <f t="shared" ref="A2496:A2559" si="39">CONCATENATE(I2496, B2496)</f>
        <v/>
      </c>
    </row>
    <row r="2497" spans="1:1">
      <c r="A2497" t="str">
        <f t="shared" si="39"/>
        <v/>
      </c>
    </row>
    <row r="2498" spans="1:1">
      <c r="A2498" t="str">
        <f t="shared" si="39"/>
        <v/>
      </c>
    </row>
    <row r="2499" spans="1:1">
      <c r="A2499" t="str">
        <f t="shared" si="39"/>
        <v/>
      </c>
    </row>
    <row r="2500" spans="1:1">
      <c r="A2500" t="str">
        <f t="shared" si="39"/>
        <v/>
      </c>
    </row>
    <row r="2501" spans="1:1">
      <c r="A2501" t="str">
        <f t="shared" si="39"/>
        <v/>
      </c>
    </row>
    <row r="2502" spans="1:1">
      <c r="A2502" t="str">
        <f t="shared" si="39"/>
        <v/>
      </c>
    </row>
    <row r="2503" spans="1:1">
      <c r="A2503" t="str">
        <f t="shared" si="39"/>
        <v/>
      </c>
    </row>
    <row r="2504" spans="1:1">
      <c r="A2504" t="str">
        <f t="shared" si="39"/>
        <v/>
      </c>
    </row>
    <row r="2505" spans="1:1">
      <c r="A2505" t="str">
        <f t="shared" si="39"/>
        <v/>
      </c>
    </row>
    <row r="2506" spans="1:1">
      <c r="A2506" t="str">
        <f t="shared" si="39"/>
        <v/>
      </c>
    </row>
    <row r="2507" spans="1:1">
      <c r="A2507" t="str">
        <f t="shared" si="39"/>
        <v/>
      </c>
    </row>
    <row r="2508" spans="1:1">
      <c r="A2508" t="str">
        <f t="shared" si="39"/>
        <v/>
      </c>
    </row>
    <row r="2509" spans="1:1">
      <c r="A2509" t="str">
        <f t="shared" si="39"/>
        <v/>
      </c>
    </row>
    <row r="2510" spans="1:1">
      <c r="A2510" t="str">
        <f t="shared" si="39"/>
        <v/>
      </c>
    </row>
    <row r="2511" spans="1:1">
      <c r="A2511" t="str">
        <f t="shared" si="39"/>
        <v/>
      </c>
    </row>
    <row r="2512" spans="1:1">
      <c r="A2512" t="str">
        <f t="shared" si="39"/>
        <v/>
      </c>
    </row>
    <row r="2513" spans="1:1">
      <c r="A2513" t="str">
        <f t="shared" si="39"/>
        <v/>
      </c>
    </row>
    <row r="2514" spans="1:1">
      <c r="A2514" t="str">
        <f t="shared" si="39"/>
        <v/>
      </c>
    </row>
    <row r="2515" spans="1:1">
      <c r="A2515" t="str">
        <f t="shared" si="39"/>
        <v/>
      </c>
    </row>
    <row r="2516" spans="1:1">
      <c r="A2516" t="str">
        <f t="shared" si="39"/>
        <v/>
      </c>
    </row>
    <row r="2517" spans="1:1">
      <c r="A2517" t="str">
        <f t="shared" si="39"/>
        <v/>
      </c>
    </row>
    <row r="2518" spans="1:1">
      <c r="A2518" t="str">
        <f t="shared" si="39"/>
        <v/>
      </c>
    </row>
    <row r="2519" spans="1:1">
      <c r="A2519" t="str">
        <f t="shared" si="39"/>
        <v/>
      </c>
    </row>
    <row r="2520" spans="1:1">
      <c r="A2520" t="str">
        <f t="shared" si="39"/>
        <v/>
      </c>
    </row>
    <row r="2521" spans="1:1">
      <c r="A2521" t="str">
        <f t="shared" si="39"/>
        <v/>
      </c>
    </row>
    <row r="2522" spans="1:1">
      <c r="A2522" t="str">
        <f t="shared" si="39"/>
        <v/>
      </c>
    </row>
    <row r="2523" spans="1:1">
      <c r="A2523" t="str">
        <f t="shared" si="39"/>
        <v/>
      </c>
    </row>
    <row r="2524" spans="1:1">
      <c r="A2524" t="str">
        <f t="shared" si="39"/>
        <v/>
      </c>
    </row>
    <row r="2525" spans="1:1">
      <c r="A2525" t="str">
        <f t="shared" si="39"/>
        <v/>
      </c>
    </row>
    <row r="2526" spans="1:1">
      <c r="A2526" t="str">
        <f t="shared" si="39"/>
        <v/>
      </c>
    </row>
    <row r="2527" spans="1:1">
      <c r="A2527" t="str">
        <f t="shared" si="39"/>
        <v/>
      </c>
    </row>
    <row r="2528" spans="1:1">
      <c r="A2528" t="str">
        <f t="shared" si="39"/>
        <v/>
      </c>
    </row>
    <row r="2529" spans="1:1">
      <c r="A2529" t="str">
        <f t="shared" si="39"/>
        <v/>
      </c>
    </row>
    <row r="2530" spans="1:1">
      <c r="A2530" t="str">
        <f t="shared" si="39"/>
        <v/>
      </c>
    </row>
    <row r="2531" spans="1:1">
      <c r="A2531" t="str">
        <f t="shared" si="39"/>
        <v/>
      </c>
    </row>
    <row r="2532" spans="1:1">
      <c r="A2532" t="str">
        <f t="shared" si="39"/>
        <v/>
      </c>
    </row>
    <row r="2533" spans="1:1">
      <c r="A2533" t="str">
        <f t="shared" si="39"/>
        <v/>
      </c>
    </row>
    <row r="2534" spans="1:1">
      <c r="A2534" t="str">
        <f t="shared" si="39"/>
        <v/>
      </c>
    </row>
    <row r="2535" spans="1:1">
      <c r="A2535" t="str">
        <f t="shared" si="39"/>
        <v/>
      </c>
    </row>
    <row r="2536" spans="1:1">
      <c r="A2536" t="str">
        <f t="shared" si="39"/>
        <v/>
      </c>
    </row>
    <row r="2537" spans="1:1">
      <c r="A2537" t="str">
        <f t="shared" si="39"/>
        <v/>
      </c>
    </row>
    <row r="2538" spans="1:1">
      <c r="A2538" t="str">
        <f t="shared" si="39"/>
        <v/>
      </c>
    </row>
    <row r="2539" spans="1:1">
      <c r="A2539" t="str">
        <f t="shared" si="39"/>
        <v/>
      </c>
    </row>
    <row r="2540" spans="1:1">
      <c r="A2540" t="str">
        <f t="shared" si="39"/>
        <v/>
      </c>
    </row>
    <row r="2541" spans="1:1">
      <c r="A2541" t="str">
        <f t="shared" si="39"/>
        <v/>
      </c>
    </row>
    <row r="2542" spans="1:1">
      <c r="A2542" t="str">
        <f t="shared" si="39"/>
        <v/>
      </c>
    </row>
    <row r="2543" spans="1:1">
      <c r="A2543" t="str">
        <f t="shared" si="39"/>
        <v/>
      </c>
    </row>
    <row r="2544" spans="1:1">
      <c r="A2544" t="str">
        <f t="shared" si="39"/>
        <v/>
      </c>
    </row>
    <row r="2545" spans="1:1">
      <c r="A2545" t="str">
        <f t="shared" si="39"/>
        <v/>
      </c>
    </row>
    <row r="2546" spans="1:1">
      <c r="A2546" t="str">
        <f t="shared" si="39"/>
        <v/>
      </c>
    </row>
    <row r="2547" spans="1:1">
      <c r="A2547" t="str">
        <f t="shared" si="39"/>
        <v/>
      </c>
    </row>
    <row r="2548" spans="1:1">
      <c r="A2548" t="str">
        <f t="shared" si="39"/>
        <v/>
      </c>
    </row>
    <row r="2549" spans="1:1">
      <c r="A2549" t="str">
        <f t="shared" si="39"/>
        <v/>
      </c>
    </row>
    <row r="2550" spans="1:1">
      <c r="A2550" t="str">
        <f t="shared" si="39"/>
        <v/>
      </c>
    </row>
    <row r="2551" spans="1:1">
      <c r="A2551" t="str">
        <f t="shared" si="39"/>
        <v/>
      </c>
    </row>
    <row r="2552" spans="1:1">
      <c r="A2552" t="str">
        <f t="shared" si="39"/>
        <v/>
      </c>
    </row>
    <row r="2553" spans="1:1">
      <c r="A2553" t="str">
        <f t="shared" si="39"/>
        <v/>
      </c>
    </row>
    <row r="2554" spans="1:1">
      <c r="A2554" t="str">
        <f t="shared" si="39"/>
        <v/>
      </c>
    </row>
    <row r="2555" spans="1:1">
      <c r="A2555" t="str">
        <f t="shared" si="39"/>
        <v/>
      </c>
    </row>
    <row r="2556" spans="1:1">
      <c r="A2556" t="str">
        <f t="shared" si="39"/>
        <v/>
      </c>
    </row>
    <row r="2557" spans="1:1">
      <c r="A2557" t="str">
        <f t="shared" si="39"/>
        <v/>
      </c>
    </row>
    <row r="2558" spans="1:1">
      <c r="A2558" t="str">
        <f t="shared" si="39"/>
        <v/>
      </c>
    </row>
    <row r="2559" spans="1:1">
      <c r="A2559" t="str">
        <f t="shared" si="39"/>
        <v/>
      </c>
    </row>
    <row r="2560" spans="1:1">
      <c r="A2560" t="str">
        <f t="shared" ref="A2560:A2623" si="40">CONCATENATE(I2560, B2560)</f>
        <v/>
      </c>
    </row>
    <row r="2561" spans="1:1">
      <c r="A2561" t="str">
        <f t="shared" si="40"/>
        <v/>
      </c>
    </row>
    <row r="2562" spans="1:1">
      <c r="A2562" t="str">
        <f t="shared" si="40"/>
        <v/>
      </c>
    </row>
    <row r="2563" spans="1:1">
      <c r="A2563" t="str">
        <f t="shared" si="40"/>
        <v/>
      </c>
    </row>
    <row r="2564" spans="1:1">
      <c r="A2564" t="str">
        <f t="shared" si="40"/>
        <v/>
      </c>
    </row>
    <row r="2565" spans="1:1">
      <c r="A2565" t="str">
        <f t="shared" si="40"/>
        <v/>
      </c>
    </row>
    <row r="2566" spans="1:1">
      <c r="A2566" t="str">
        <f t="shared" si="40"/>
        <v/>
      </c>
    </row>
    <row r="2567" spans="1:1">
      <c r="A2567" t="str">
        <f t="shared" si="40"/>
        <v/>
      </c>
    </row>
    <row r="2568" spans="1:1">
      <c r="A2568" t="str">
        <f t="shared" si="40"/>
        <v/>
      </c>
    </row>
    <row r="2569" spans="1:1">
      <c r="A2569" t="str">
        <f t="shared" si="40"/>
        <v/>
      </c>
    </row>
    <row r="2570" spans="1:1">
      <c r="A2570" t="str">
        <f t="shared" si="40"/>
        <v/>
      </c>
    </row>
    <row r="2571" spans="1:1">
      <c r="A2571" t="str">
        <f t="shared" si="40"/>
        <v/>
      </c>
    </row>
    <row r="2572" spans="1:1">
      <c r="A2572" t="str">
        <f t="shared" si="40"/>
        <v/>
      </c>
    </row>
    <row r="2573" spans="1:1">
      <c r="A2573" t="str">
        <f t="shared" si="40"/>
        <v/>
      </c>
    </row>
    <row r="2574" spans="1:1">
      <c r="A2574" t="str">
        <f t="shared" si="40"/>
        <v/>
      </c>
    </row>
    <row r="2575" spans="1:1">
      <c r="A2575" t="str">
        <f t="shared" si="40"/>
        <v/>
      </c>
    </row>
    <row r="2576" spans="1:1">
      <c r="A2576" t="str">
        <f t="shared" si="40"/>
        <v/>
      </c>
    </row>
    <row r="2577" spans="1:1">
      <c r="A2577" t="str">
        <f t="shared" si="40"/>
        <v/>
      </c>
    </row>
    <row r="2578" spans="1:1">
      <c r="A2578" t="str">
        <f t="shared" si="40"/>
        <v/>
      </c>
    </row>
    <row r="2579" spans="1:1">
      <c r="A2579" t="str">
        <f t="shared" si="40"/>
        <v/>
      </c>
    </row>
    <row r="2580" spans="1:1">
      <c r="A2580" t="str">
        <f t="shared" si="40"/>
        <v/>
      </c>
    </row>
    <row r="2581" spans="1:1">
      <c r="A2581" t="str">
        <f t="shared" si="40"/>
        <v/>
      </c>
    </row>
    <row r="2582" spans="1:1">
      <c r="A2582" t="str">
        <f t="shared" si="40"/>
        <v/>
      </c>
    </row>
    <row r="2583" spans="1:1">
      <c r="A2583" t="str">
        <f t="shared" si="40"/>
        <v/>
      </c>
    </row>
    <row r="2584" spans="1:1">
      <c r="A2584" t="str">
        <f t="shared" si="40"/>
        <v/>
      </c>
    </row>
    <row r="2585" spans="1:1">
      <c r="A2585" t="str">
        <f t="shared" si="40"/>
        <v/>
      </c>
    </row>
    <row r="2586" spans="1:1">
      <c r="A2586" t="str">
        <f t="shared" si="40"/>
        <v/>
      </c>
    </row>
    <row r="2587" spans="1:1">
      <c r="A2587" t="str">
        <f t="shared" si="40"/>
        <v/>
      </c>
    </row>
    <row r="2588" spans="1:1">
      <c r="A2588" t="str">
        <f t="shared" si="40"/>
        <v/>
      </c>
    </row>
    <row r="2589" spans="1:1">
      <c r="A2589" t="str">
        <f t="shared" si="40"/>
        <v/>
      </c>
    </row>
    <row r="2590" spans="1:1">
      <c r="A2590" t="str">
        <f t="shared" si="40"/>
        <v/>
      </c>
    </row>
    <row r="2591" spans="1:1">
      <c r="A2591" t="str">
        <f t="shared" si="40"/>
        <v/>
      </c>
    </row>
    <row r="2592" spans="1:1">
      <c r="A2592" t="str">
        <f t="shared" si="40"/>
        <v/>
      </c>
    </row>
    <row r="2593" spans="1:1">
      <c r="A2593" t="str">
        <f t="shared" si="40"/>
        <v/>
      </c>
    </row>
    <row r="2594" spans="1:1">
      <c r="A2594" t="str">
        <f t="shared" si="40"/>
        <v/>
      </c>
    </row>
    <row r="2595" spans="1:1">
      <c r="A2595" t="str">
        <f t="shared" si="40"/>
        <v/>
      </c>
    </row>
    <row r="2596" spans="1:1">
      <c r="A2596" t="str">
        <f t="shared" si="40"/>
        <v/>
      </c>
    </row>
    <row r="2597" spans="1:1">
      <c r="A2597" t="str">
        <f t="shared" si="40"/>
        <v/>
      </c>
    </row>
    <row r="2598" spans="1:1">
      <c r="A2598" t="str">
        <f t="shared" si="40"/>
        <v/>
      </c>
    </row>
    <row r="2599" spans="1:1">
      <c r="A2599" t="str">
        <f t="shared" si="40"/>
        <v/>
      </c>
    </row>
    <row r="2600" spans="1:1">
      <c r="A2600" t="str">
        <f t="shared" si="40"/>
        <v/>
      </c>
    </row>
    <row r="2601" spans="1:1">
      <c r="A2601" t="str">
        <f t="shared" si="40"/>
        <v/>
      </c>
    </row>
    <row r="2602" spans="1:1">
      <c r="A2602" t="str">
        <f t="shared" si="40"/>
        <v/>
      </c>
    </row>
    <row r="2603" spans="1:1">
      <c r="A2603" t="str">
        <f t="shared" si="40"/>
        <v/>
      </c>
    </row>
    <row r="2604" spans="1:1">
      <c r="A2604" t="str">
        <f t="shared" si="40"/>
        <v/>
      </c>
    </row>
    <row r="2605" spans="1:1">
      <c r="A2605" t="str">
        <f t="shared" si="40"/>
        <v/>
      </c>
    </row>
    <row r="2606" spans="1:1">
      <c r="A2606" t="str">
        <f t="shared" si="40"/>
        <v/>
      </c>
    </row>
    <row r="2607" spans="1:1">
      <c r="A2607" t="str">
        <f t="shared" si="40"/>
        <v/>
      </c>
    </row>
    <row r="2608" spans="1:1">
      <c r="A2608" t="str">
        <f t="shared" si="40"/>
        <v/>
      </c>
    </row>
    <row r="2609" spans="1:1">
      <c r="A2609" t="str">
        <f t="shared" si="40"/>
        <v/>
      </c>
    </row>
    <row r="2610" spans="1:1">
      <c r="A2610" t="str">
        <f t="shared" si="40"/>
        <v/>
      </c>
    </row>
    <row r="2611" spans="1:1">
      <c r="A2611" t="str">
        <f t="shared" si="40"/>
        <v/>
      </c>
    </row>
    <row r="2612" spans="1:1">
      <c r="A2612" t="str">
        <f t="shared" si="40"/>
        <v/>
      </c>
    </row>
    <row r="2613" spans="1:1">
      <c r="A2613" t="str">
        <f t="shared" si="40"/>
        <v/>
      </c>
    </row>
    <row r="2614" spans="1:1">
      <c r="A2614" t="str">
        <f t="shared" si="40"/>
        <v/>
      </c>
    </row>
    <row r="2615" spans="1:1">
      <c r="A2615" t="str">
        <f t="shared" si="40"/>
        <v/>
      </c>
    </row>
    <row r="2616" spans="1:1">
      <c r="A2616" t="str">
        <f t="shared" si="40"/>
        <v/>
      </c>
    </row>
    <row r="2617" spans="1:1">
      <c r="A2617" t="str">
        <f t="shared" si="40"/>
        <v/>
      </c>
    </row>
    <row r="2618" spans="1:1">
      <c r="A2618" t="str">
        <f t="shared" si="40"/>
        <v/>
      </c>
    </row>
    <row r="2619" spans="1:1">
      <c r="A2619" t="str">
        <f t="shared" si="40"/>
        <v/>
      </c>
    </row>
    <row r="2620" spans="1:1">
      <c r="A2620" t="str">
        <f t="shared" si="40"/>
        <v/>
      </c>
    </row>
    <row r="2621" spans="1:1">
      <c r="A2621" t="str">
        <f t="shared" si="40"/>
        <v/>
      </c>
    </row>
    <row r="2622" spans="1:1">
      <c r="A2622" t="str">
        <f t="shared" si="40"/>
        <v/>
      </c>
    </row>
    <row r="2623" spans="1:1">
      <c r="A2623" t="str">
        <f t="shared" si="40"/>
        <v/>
      </c>
    </row>
    <row r="2624" spans="1:1">
      <c r="A2624" t="str">
        <f t="shared" ref="A2624:A2687" si="41">CONCATENATE(I2624, B2624)</f>
        <v/>
      </c>
    </row>
    <row r="2625" spans="1:1">
      <c r="A2625" t="str">
        <f t="shared" si="41"/>
        <v/>
      </c>
    </row>
    <row r="2626" spans="1:1">
      <c r="A2626" t="str">
        <f t="shared" si="41"/>
        <v/>
      </c>
    </row>
    <row r="2627" spans="1:1">
      <c r="A2627" t="str">
        <f t="shared" si="41"/>
        <v/>
      </c>
    </row>
    <row r="2628" spans="1:1">
      <c r="A2628" t="str">
        <f t="shared" si="41"/>
        <v/>
      </c>
    </row>
    <row r="2629" spans="1:1">
      <c r="A2629" t="str">
        <f t="shared" si="41"/>
        <v/>
      </c>
    </row>
    <row r="2630" spans="1:1">
      <c r="A2630" t="str">
        <f t="shared" si="41"/>
        <v/>
      </c>
    </row>
    <row r="2631" spans="1:1">
      <c r="A2631" t="str">
        <f t="shared" si="41"/>
        <v/>
      </c>
    </row>
    <row r="2632" spans="1:1">
      <c r="A2632" t="str">
        <f t="shared" si="41"/>
        <v/>
      </c>
    </row>
    <row r="2633" spans="1:1">
      <c r="A2633" t="str">
        <f t="shared" si="41"/>
        <v/>
      </c>
    </row>
    <row r="2634" spans="1:1">
      <c r="A2634" t="str">
        <f t="shared" si="41"/>
        <v/>
      </c>
    </row>
    <row r="2635" spans="1:1">
      <c r="A2635" t="str">
        <f t="shared" si="41"/>
        <v/>
      </c>
    </row>
    <row r="2636" spans="1:1">
      <c r="A2636" t="str">
        <f t="shared" si="41"/>
        <v/>
      </c>
    </row>
    <row r="2637" spans="1:1">
      <c r="A2637" t="str">
        <f t="shared" si="41"/>
        <v/>
      </c>
    </row>
    <row r="2638" spans="1:1">
      <c r="A2638" t="str">
        <f t="shared" si="41"/>
        <v/>
      </c>
    </row>
    <row r="2639" spans="1:1">
      <c r="A2639" t="str">
        <f t="shared" si="41"/>
        <v/>
      </c>
    </row>
    <row r="2640" spans="1:1">
      <c r="A2640" t="str">
        <f t="shared" si="41"/>
        <v/>
      </c>
    </row>
    <row r="2641" spans="1:1">
      <c r="A2641" t="str">
        <f t="shared" si="41"/>
        <v/>
      </c>
    </row>
    <row r="2642" spans="1:1">
      <c r="A2642" t="str">
        <f t="shared" si="41"/>
        <v/>
      </c>
    </row>
    <row r="2643" spans="1:1">
      <c r="A2643" t="str">
        <f t="shared" si="41"/>
        <v/>
      </c>
    </row>
    <row r="2644" spans="1:1">
      <c r="A2644" t="str">
        <f t="shared" si="41"/>
        <v/>
      </c>
    </row>
    <row r="2645" spans="1:1">
      <c r="A2645" t="str">
        <f t="shared" si="41"/>
        <v/>
      </c>
    </row>
    <row r="2646" spans="1:1">
      <c r="A2646" t="str">
        <f t="shared" si="41"/>
        <v/>
      </c>
    </row>
    <row r="2647" spans="1:1">
      <c r="A2647" t="str">
        <f t="shared" si="41"/>
        <v/>
      </c>
    </row>
    <row r="2648" spans="1:1">
      <c r="A2648" t="str">
        <f t="shared" si="41"/>
        <v/>
      </c>
    </row>
    <row r="2649" spans="1:1">
      <c r="A2649" t="str">
        <f t="shared" si="41"/>
        <v/>
      </c>
    </row>
    <row r="2650" spans="1:1">
      <c r="A2650" t="str">
        <f t="shared" si="41"/>
        <v/>
      </c>
    </row>
    <row r="2651" spans="1:1">
      <c r="A2651" t="str">
        <f t="shared" si="41"/>
        <v/>
      </c>
    </row>
    <row r="2652" spans="1:1">
      <c r="A2652" t="str">
        <f t="shared" si="41"/>
        <v/>
      </c>
    </row>
    <row r="2653" spans="1:1">
      <c r="A2653" t="str">
        <f t="shared" si="41"/>
        <v/>
      </c>
    </row>
    <row r="2654" spans="1:1">
      <c r="A2654" t="str">
        <f t="shared" si="41"/>
        <v/>
      </c>
    </row>
    <row r="2655" spans="1:1">
      <c r="A2655" t="str">
        <f t="shared" si="41"/>
        <v/>
      </c>
    </row>
    <row r="2656" spans="1:1">
      <c r="A2656" t="str">
        <f t="shared" si="41"/>
        <v/>
      </c>
    </row>
    <row r="2657" spans="1:1">
      <c r="A2657" t="str">
        <f t="shared" si="41"/>
        <v/>
      </c>
    </row>
    <row r="2658" spans="1:1">
      <c r="A2658" t="str">
        <f t="shared" si="41"/>
        <v/>
      </c>
    </row>
    <row r="2659" spans="1:1">
      <c r="A2659" t="str">
        <f t="shared" si="41"/>
        <v/>
      </c>
    </row>
    <row r="2660" spans="1:1">
      <c r="A2660" t="str">
        <f t="shared" si="41"/>
        <v/>
      </c>
    </row>
    <row r="2661" spans="1:1">
      <c r="A2661" t="str">
        <f t="shared" si="41"/>
        <v/>
      </c>
    </row>
    <row r="2662" spans="1:1">
      <c r="A2662" t="str">
        <f t="shared" si="41"/>
        <v/>
      </c>
    </row>
    <row r="2663" spans="1:1">
      <c r="A2663" t="str">
        <f t="shared" si="41"/>
        <v/>
      </c>
    </row>
    <row r="2664" spans="1:1">
      <c r="A2664" t="str">
        <f t="shared" si="41"/>
        <v/>
      </c>
    </row>
    <row r="2665" spans="1:1">
      <c r="A2665" t="str">
        <f t="shared" si="41"/>
        <v/>
      </c>
    </row>
    <row r="2666" spans="1:1">
      <c r="A2666" t="str">
        <f t="shared" si="41"/>
        <v/>
      </c>
    </row>
    <row r="2667" spans="1:1">
      <c r="A2667" t="str">
        <f t="shared" si="41"/>
        <v/>
      </c>
    </row>
    <row r="2668" spans="1:1">
      <c r="A2668" t="str">
        <f t="shared" si="41"/>
        <v/>
      </c>
    </row>
    <row r="2669" spans="1:1">
      <c r="A2669" t="str">
        <f t="shared" si="41"/>
        <v/>
      </c>
    </row>
    <row r="2670" spans="1:1">
      <c r="A2670" t="str">
        <f t="shared" si="41"/>
        <v/>
      </c>
    </row>
    <row r="2671" spans="1:1">
      <c r="A2671" t="str">
        <f t="shared" si="41"/>
        <v/>
      </c>
    </row>
    <row r="2672" spans="1:1">
      <c r="A2672" t="str">
        <f t="shared" si="41"/>
        <v/>
      </c>
    </row>
    <row r="2673" spans="1:1">
      <c r="A2673" t="str">
        <f t="shared" si="41"/>
        <v/>
      </c>
    </row>
    <row r="2674" spans="1:1">
      <c r="A2674" t="str">
        <f t="shared" si="41"/>
        <v/>
      </c>
    </row>
    <row r="2675" spans="1:1">
      <c r="A2675" t="str">
        <f t="shared" si="41"/>
        <v/>
      </c>
    </row>
    <row r="2676" spans="1:1">
      <c r="A2676" t="str">
        <f t="shared" si="41"/>
        <v/>
      </c>
    </row>
    <row r="2677" spans="1:1">
      <c r="A2677" t="str">
        <f t="shared" si="41"/>
        <v/>
      </c>
    </row>
    <row r="2678" spans="1:1">
      <c r="A2678" t="str">
        <f t="shared" si="41"/>
        <v/>
      </c>
    </row>
    <row r="2679" spans="1:1">
      <c r="A2679" t="str">
        <f t="shared" si="41"/>
        <v/>
      </c>
    </row>
    <row r="2680" spans="1:1">
      <c r="A2680" t="str">
        <f t="shared" si="41"/>
        <v/>
      </c>
    </row>
    <row r="2681" spans="1:1">
      <c r="A2681" t="str">
        <f t="shared" si="41"/>
        <v/>
      </c>
    </row>
    <row r="2682" spans="1:1">
      <c r="A2682" t="str">
        <f t="shared" si="41"/>
        <v/>
      </c>
    </row>
    <row r="2683" spans="1:1">
      <c r="A2683" t="str">
        <f t="shared" si="41"/>
        <v/>
      </c>
    </row>
    <row r="2684" spans="1:1">
      <c r="A2684" t="str">
        <f t="shared" si="41"/>
        <v/>
      </c>
    </row>
    <row r="2685" spans="1:1">
      <c r="A2685" t="str">
        <f t="shared" si="41"/>
        <v/>
      </c>
    </row>
    <row r="2686" spans="1:1">
      <c r="A2686" t="str">
        <f t="shared" si="41"/>
        <v/>
      </c>
    </row>
    <row r="2687" spans="1:1">
      <c r="A2687" t="str">
        <f t="shared" si="41"/>
        <v/>
      </c>
    </row>
    <row r="2688" spans="1:1">
      <c r="A2688" t="str">
        <f t="shared" ref="A2688:A2751" si="42">CONCATENATE(I2688, B2688)</f>
        <v/>
      </c>
    </row>
    <row r="2689" spans="1:1">
      <c r="A2689" t="str">
        <f t="shared" si="42"/>
        <v/>
      </c>
    </row>
    <row r="2690" spans="1:1">
      <c r="A2690" t="str">
        <f t="shared" si="42"/>
        <v/>
      </c>
    </row>
    <row r="2691" spans="1:1">
      <c r="A2691" t="str">
        <f t="shared" si="42"/>
        <v/>
      </c>
    </row>
    <row r="2692" spans="1:1">
      <c r="A2692" t="str">
        <f t="shared" si="42"/>
        <v/>
      </c>
    </row>
    <row r="2693" spans="1:1">
      <c r="A2693" t="str">
        <f t="shared" si="42"/>
        <v/>
      </c>
    </row>
    <row r="2694" spans="1:1">
      <c r="A2694" t="str">
        <f t="shared" si="42"/>
        <v/>
      </c>
    </row>
    <row r="2695" spans="1:1">
      <c r="A2695" t="str">
        <f t="shared" si="42"/>
        <v/>
      </c>
    </row>
    <row r="2696" spans="1:1">
      <c r="A2696" t="str">
        <f t="shared" si="42"/>
        <v/>
      </c>
    </row>
    <row r="2697" spans="1:1">
      <c r="A2697" t="str">
        <f t="shared" si="42"/>
        <v/>
      </c>
    </row>
    <row r="2698" spans="1:1">
      <c r="A2698" t="str">
        <f t="shared" si="42"/>
        <v/>
      </c>
    </row>
    <row r="2699" spans="1:1">
      <c r="A2699" t="str">
        <f t="shared" si="42"/>
        <v/>
      </c>
    </row>
    <row r="2700" spans="1:1">
      <c r="A2700" t="str">
        <f t="shared" si="42"/>
        <v/>
      </c>
    </row>
    <row r="2701" spans="1:1">
      <c r="A2701" t="str">
        <f t="shared" si="42"/>
        <v/>
      </c>
    </row>
    <row r="2702" spans="1:1">
      <c r="A2702" t="str">
        <f t="shared" si="42"/>
        <v/>
      </c>
    </row>
    <row r="2703" spans="1:1">
      <c r="A2703" t="str">
        <f t="shared" si="42"/>
        <v/>
      </c>
    </row>
    <row r="2704" spans="1:1">
      <c r="A2704" t="str">
        <f t="shared" si="42"/>
        <v/>
      </c>
    </row>
    <row r="2705" spans="1:1">
      <c r="A2705" t="str">
        <f t="shared" si="42"/>
        <v/>
      </c>
    </row>
    <row r="2706" spans="1:1">
      <c r="A2706" t="str">
        <f t="shared" si="42"/>
        <v/>
      </c>
    </row>
    <row r="2707" spans="1:1">
      <c r="A2707" t="str">
        <f t="shared" si="42"/>
        <v/>
      </c>
    </row>
    <row r="2708" spans="1:1">
      <c r="A2708" t="str">
        <f t="shared" si="42"/>
        <v/>
      </c>
    </row>
    <row r="2709" spans="1:1">
      <c r="A2709" t="str">
        <f t="shared" si="42"/>
        <v/>
      </c>
    </row>
    <row r="2710" spans="1:1">
      <c r="A2710" t="str">
        <f t="shared" si="42"/>
        <v/>
      </c>
    </row>
    <row r="2711" spans="1:1">
      <c r="A2711" t="str">
        <f t="shared" si="42"/>
        <v/>
      </c>
    </row>
    <row r="2712" spans="1:1">
      <c r="A2712" t="str">
        <f t="shared" si="42"/>
        <v/>
      </c>
    </row>
    <row r="2713" spans="1:1">
      <c r="A2713" t="str">
        <f t="shared" si="42"/>
        <v/>
      </c>
    </row>
    <row r="2714" spans="1:1">
      <c r="A2714" t="str">
        <f t="shared" si="42"/>
        <v/>
      </c>
    </row>
    <row r="2715" spans="1:1">
      <c r="A2715" t="str">
        <f t="shared" si="42"/>
        <v/>
      </c>
    </row>
    <row r="2716" spans="1:1">
      <c r="A2716" t="str">
        <f t="shared" si="42"/>
        <v/>
      </c>
    </row>
    <row r="2717" spans="1:1">
      <c r="A2717" t="str">
        <f t="shared" si="42"/>
        <v/>
      </c>
    </row>
    <row r="2718" spans="1:1">
      <c r="A2718" t="str">
        <f t="shared" si="42"/>
        <v/>
      </c>
    </row>
    <row r="2719" spans="1:1">
      <c r="A2719" t="str">
        <f t="shared" si="42"/>
        <v/>
      </c>
    </row>
    <row r="2720" spans="1:1">
      <c r="A2720" t="str">
        <f t="shared" si="42"/>
        <v/>
      </c>
    </row>
    <row r="2721" spans="1:1">
      <c r="A2721" t="str">
        <f t="shared" si="42"/>
        <v/>
      </c>
    </row>
    <row r="2722" spans="1:1">
      <c r="A2722" t="str">
        <f t="shared" si="42"/>
        <v/>
      </c>
    </row>
    <row r="2723" spans="1:1">
      <c r="A2723" t="str">
        <f t="shared" si="42"/>
        <v/>
      </c>
    </row>
    <row r="2724" spans="1:1">
      <c r="A2724" t="str">
        <f t="shared" si="42"/>
        <v/>
      </c>
    </row>
    <row r="2725" spans="1:1">
      <c r="A2725" t="str">
        <f t="shared" si="42"/>
        <v/>
      </c>
    </row>
    <row r="2726" spans="1:1">
      <c r="A2726" t="str">
        <f t="shared" si="42"/>
        <v/>
      </c>
    </row>
    <row r="2727" spans="1:1">
      <c r="A2727" t="str">
        <f t="shared" si="42"/>
        <v/>
      </c>
    </row>
    <row r="2728" spans="1:1">
      <c r="A2728" t="str">
        <f t="shared" si="42"/>
        <v/>
      </c>
    </row>
    <row r="2729" spans="1:1">
      <c r="A2729" t="str">
        <f t="shared" si="42"/>
        <v/>
      </c>
    </row>
    <row r="2730" spans="1:1">
      <c r="A2730" t="str">
        <f t="shared" si="42"/>
        <v/>
      </c>
    </row>
    <row r="2731" spans="1:1">
      <c r="A2731" t="str">
        <f t="shared" si="42"/>
        <v/>
      </c>
    </row>
    <row r="2732" spans="1:1">
      <c r="A2732" t="str">
        <f t="shared" si="42"/>
        <v/>
      </c>
    </row>
    <row r="2733" spans="1:1">
      <c r="A2733" t="str">
        <f t="shared" si="42"/>
        <v/>
      </c>
    </row>
    <row r="2734" spans="1:1">
      <c r="A2734" t="str">
        <f t="shared" si="42"/>
        <v/>
      </c>
    </row>
    <row r="2735" spans="1:1">
      <c r="A2735" t="str">
        <f t="shared" si="42"/>
        <v/>
      </c>
    </row>
    <row r="2736" spans="1:1">
      <c r="A2736" t="str">
        <f t="shared" si="42"/>
        <v/>
      </c>
    </row>
    <row r="2737" spans="1:1">
      <c r="A2737" t="str">
        <f t="shared" si="42"/>
        <v/>
      </c>
    </row>
    <row r="2738" spans="1:1">
      <c r="A2738" t="str">
        <f t="shared" si="42"/>
        <v/>
      </c>
    </row>
    <row r="2739" spans="1:1">
      <c r="A2739" t="str">
        <f t="shared" si="42"/>
        <v/>
      </c>
    </row>
    <row r="2740" spans="1:1">
      <c r="A2740" t="str">
        <f t="shared" si="42"/>
        <v/>
      </c>
    </row>
    <row r="2741" spans="1:1">
      <c r="A2741" t="str">
        <f t="shared" si="42"/>
        <v/>
      </c>
    </row>
    <row r="2742" spans="1:1">
      <c r="A2742" t="str">
        <f t="shared" si="42"/>
        <v/>
      </c>
    </row>
    <row r="2743" spans="1:1">
      <c r="A2743" t="str">
        <f t="shared" si="42"/>
        <v/>
      </c>
    </row>
    <row r="2744" spans="1:1">
      <c r="A2744" t="str">
        <f t="shared" si="42"/>
        <v/>
      </c>
    </row>
    <row r="2745" spans="1:1">
      <c r="A2745" t="str">
        <f t="shared" si="42"/>
        <v/>
      </c>
    </row>
    <row r="2746" spans="1:1">
      <c r="A2746" t="str">
        <f t="shared" si="42"/>
        <v/>
      </c>
    </row>
    <row r="2747" spans="1:1">
      <c r="A2747" t="str">
        <f t="shared" si="42"/>
        <v/>
      </c>
    </row>
    <row r="2748" spans="1:1">
      <c r="A2748" t="str">
        <f t="shared" si="42"/>
        <v/>
      </c>
    </row>
    <row r="2749" spans="1:1">
      <c r="A2749" t="str">
        <f t="shared" si="42"/>
        <v/>
      </c>
    </row>
    <row r="2750" spans="1:1">
      <c r="A2750" t="str">
        <f t="shared" si="42"/>
        <v/>
      </c>
    </row>
    <row r="2751" spans="1:1">
      <c r="A2751" t="str">
        <f t="shared" si="42"/>
        <v/>
      </c>
    </row>
    <row r="2752" spans="1:1">
      <c r="A2752" t="str">
        <f t="shared" ref="A2752:A2815" si="43">CONCATENATE(I2752, B2752)</f>
        <v/>
      </c>
    </row>
    <row r="2753" spans="1:1">
      <c r="A2753" t="str">
        <f t="shared" si="43"/>
        <v/>
      </c>
    </row>
    <row r="2754" spans="1:1">
      <c r="A2754" t="str">
        <f t="shared" si="43"/>
        <v/>
      </c>
    </row>
    <row r="2755" spans="1:1">
      <c r="A2755" t="str">
        <f t="shared" si="43"/>
        <v/>
      </c>
    </row>
    <row r="2756" spans="1:1">
      <c r="A2756" t="str">
        <f t="shared" si="43"/>
        <v/>
      </c>
    </row>
    <row r="2757" spans="1:1">
      <c r="A2757" t="str">
        <f t="shared" si="43"/>
        <v/>
      </c>
    </row>
    <row r="2758" spans="1:1">
      <c r="A2758" t="str">
        <f t="shared" si="43"/>
        <v/>
      </c>
    </row>
    <row r="2759" spans="1:1">
      <c r="A2759" t="str">
        <f t="shared" si="43"/>
        <v/>
      </c>
    </row>
    <row r="2760" spans="1:1">
      <c r="A2760" t="str">
        <f t="shared" si="43"/>
        <v/>
      </c>
    </row>
    <row r="2761" spans="1:1">
      <c r="A2761" t="str">
        <f t="shared" si="43"/>
        <v/>
      </c>
    </row>
    <row r="2762" spans="1:1">
      <c r="A2762" t="str">
        <f t="shared" si="43"/>
        <v/>
      </c>
    </row>
    <row r="2763" spans="1:1">
      <c r="A2763" t="str">
        <f t="shared" si="43"/>
        <v/>
      </c>
    </row>
    <row r="2764" spans="1:1">
      <c r="A2764" t="str">
        <f t="shared" si="43"/>
        <v/>
      </c>
    </row>
    <row r="2765" spans="1:1">
      <c r="A2765" t="str">
        <f t="shared" si="43"/>
        <v/>
      </c>
    </row>
    <row r="2766" spans="1:1">
      <c r="A2766" t="str">
        <f t="shared" si="43"/>
        <v/>
      </c>
    </row>
    <row r="2767" spans="1:1">
      <c r="A2767" t="str">
        <f t="shared" si="43"/>
        <v/>
      </c>
    </row>
    <row r="2768" spans="1:1">
      <c r="A2768" t="str">
        <f t="shared" si="43"/>
        <v/>
      </c>
    </row>
    <row r="2769" spans="1:1">
      <c r="A2769" t="str">
        <f t="shared" si="43"/>
        <v/>
      </c>
    </row>
    <row r="2770" spans="1:1">
      <c r="A2770" t="str">
        <f t="shared" si="43"/>
        <v/>
      </c>
    </row>
    <row r="2771" spans="1:1">
      <c r="A2771" t="str">
        <f t="shared" si="43"/>
        <v/>
      </c>
    </row>
    <row r="2772" spans="1:1">
      <c r="A2772" t="str">
        <f t="shared" si="43"/>
        <v/>
      </c>
    </row>
    <row r="2773" spans="1:1">
      <c r="A2773" t="str">
        <f t="shared" si="43"/>
        <v/>
      </c>
    </row>
    <row r="2774" spans="1:1">
      <c r="A2774" t="str">
        <f t="shared" si="43"/>
        <v/>
      </c>
    </row>
    <row r="2775" spans="1:1">
      <c r="A2775" t="str">
        <f t="shared" si="43"/>
        <v/>
      </c>
    </row>
    <row r="2776" spans="1:1">
      <c r="A2776" t="str">
        <f t="shared" si="43"/>
        <v/>
      </c>
    </row>
    <row r="2777" spans="1:1">
      <c r="A2777" t="str">
        <f t="shared" si="43"/>
        <v/>
      </c>
    </row>
    <row r="2778" spans="1:1">
      <c r="A2778" t="str">
        <f t="shared" si="43"/>
        <v/>
      </c>
    </row>
    <row r="2779" spans="1:1">
      <c r="A2779" t="str">
        <f t="shared" si="43"/>
        <v/>
      </c>
    </row>
    <row r="2780" spans="1:1">
      <c r="A2780" t="str">
        <f t="shared" si="43"/>
        <v/>
      </c>
    </row>
    <row r="2781" spans="1:1">
      <c r="A2781" t="str">
        <f t="shared" si="43"/>
        <v/>
      </c>
    </row>
    <row r="2782" spans="1:1">
      <c r="A2782" t="str">
        <f t="shared" si="43"/>
        <v/>
      </c>
    </row>
    <row r="2783" spans="1:1">
      <c r="A2783" t="str">
        <f t="shared" si="43"/>
        <v/>
      </c>
    </row>
    <row r="2784" spans="1:1">
      <c r="A2784" t="str">
        <f t="shared" si="43"/>
        <v/>
      </c>
    </row>
    <row r="2785" spans="1:1">
      <c r="A2785" t="str">
        <f t="shared" si="43"/>
        <v/>
      </c>
    </row>
    <row r="2786" spans="1:1">
      <c r="A2786" t="str">
        <f t="shared" si="43"/>
        <v/>
      </c>
    </row>
    <row r="2787" spans="1:1">
      <c r="A2787" t="str">
        <f t="shared" si="43"/>
        <v/>
      </c>
    </row>
    <row r="2788" spans="1:1">
      <c r="A2788" t="str">
        <f t="shared" si="43"/>
        <v/>
      </c>
    </row>
    <row r="2789" spans="1:1">
      <c r="A2789" t="str">
        <f t="shared" si="43"/>
        <v/>
      </c>
    </row>
    <row r="2790" spans="1:1">
      <c r="A2790" t="str">
        <f t="shared" si="43"/>
        <v/>
      </c>
    </row>
    <row r="2791" spans="1:1">
      <c r="A2791" t="str">
        <f t="shared" si="43"/>
        <v/>
      </c>
    </row>
    <row r="2792" spans="1:1">
      <c r="A2792" t="str">
        <f t="shared" si="43"/>
        <v/>
      </c>
    </row>
    <row r="2793" spans="1:1">
      <c r="A2793" t="str">
        <f t="shared" si="43"/>
        <v/>
      </c>
    </row>
    <row r="2794" spans="1:1">
      <c r="A2794" t="str">
        <f t="shared" si="43"/>
        <v/>
      </c>
    </row>
    <row r="2795" spans="1:1">
      <c r="A2795" t="str">
        <f t="shared" si="43"/>
        <v/>
      </c>
    </row>
    <row r="2796" spans="1:1">
      <c r="A2796" t="str">
        <f t="shared" si="43"/>
        <v/>
      </c>
    </row>
    <row r="2797" spans="1:1">
      <c r="A2797" t="str">
        <f t="shared" si="43"/>
        <v/>
      </c>
    </row>
    <row r="2798" spans="1:1">
      <c r="A2798" t="str">
        <f t="shared" si="43"/>
        <v/>
      </c>
    </row>
    <row r="2799" spans="1:1">
      <c r="A2799" t="str">
        <f t="shared" si="43"/>
        <v/>
      </c>
    </row>
    <row r="2800" spans="1:1">
      <c r="A2800" t="str">
        <f t="shared" si="43"/>
        <v/>
      </c>
    </row>
    <row r="2801" spans="1:1">
      <c r="A2801" t="str">
        <f t="shared" si="43"/>
        <v/>
      </c>
    </row>
    <row r="2802" spans="1:1">
      <c r="A2802" t="str">
        <f t="shared" si="43"/>
        <v/>
      </c>
    </row>
    <row r="2803" spans="1:1">
      <c r="A2803" t="str">
        <f t="shared" si="43"/>
        <v/>
      </c>
    </row>
    <row r="2804" spans="1:1">
      <c r="A2804" t="str">
        <f t="shared" si="43"/>
        <v/>
      </c>
    </row>
    <row r="2805" spans="1:1">
      <c r="A2805" t="str">
        <f t="shared" si="43"/>
        <v/>
      </c>
    </row>
    <row r="2806" spans="1:1">
      <c r="A2806" t="str">
        <f t="shared" si="43"/>
        <v/>
      </c>
    </row>
    <row r="2807" spans="1:1">
      <c r="A2807" t="str">
        <f t="shared" si="43"/>
        <v/>
      </c>
    </row>
    <row r="2808" spans="1:1">
      <c r="A2808" t="str">
        <f t="shared" si="43"/>
        <v/>
      </c>
    </row>
    <row r="2809" spans="1:1">
      <c r="A2809" t="str">
        <f t="shared" si="43"/>
        <v/>
      </c>
    </row>
    <row r="2810" spans="1:1">
      <c r="A2810" t="str">
        <f t="shared" si="43"/>
        <v/>
      </c>
    </row>
    <row r="2811" spans="1:1">
      <c r="A2811" t="str">
        <f t="shared" si="43"/>
        <v/>
      </c>
    </row>
    <row r="2812" spans="1:1">
      <c r="A2812" t="str">
        <f t="shared" si="43"/>
        <v/>
      </c>
    </row>
    <row r="2813" spans="1:1">
      <c r="A2813" t="str">
        <f t="shared" si="43"/>
        <v/>
      </c>
    </row>
    <row r="2814" spans="1:1">
      <c r="A2814" t="str">
        <f t="shared" si="43"/>
        <v/>
      </c>
    </row>
    <row r="2815" spans="1:1">
      <c r="A2815" t="str">
        <f t="shared" si="43"/>
        <v/>
      </c>
    </row>
    <row r="2816" spans="1:1">
      <c r="A2816" t="str">
        <f t="shared" ref="A2816:A2879" si="44">CONCATENATE(I2816, B2816)</f>
        <v/>
      </c>
    </row>
    <row r="2817" spans="1:1">
      <c r="A2817" t="str">
        <f t="shared" si="44"/>
        <v/>
      </c>
    </row>
    <row r="2818" spans="1:1">
      <c r="A2818" t="str">
        <f t="shared" si="44"/>
        <v/>
      </c>
    </row>
    <row r="2819" spans="1:1">
      <c r="A2819" t="str">
        <f t="shared" si="44"/>
        <v/>
      </c>
    </row>
    <row r="2820" spans="1:1">
      <c r="A2820" t="str">
        <f t="shared" si="44"/>
        <v/>
      </c>
    </row>
    <row r="2821" spans="1:1">
      <c r="A2821" t="str">
        <f t="shared" si="44"/>
        <v/>
      </c>
    </row>
    <row r="2822" spans="1:1">
      <c r="A2822" t="str">
        <f t="shared" si="44"/>
        <v/>
      </c>
    </row>
    <row r="2823" spans="1:1">
      <c r="A2823" t="str">
        <f t="shared" si="44"/>
        <v/>
      </c>
    </row>
    <row r="2824" spans="1:1">
      <c r="A2824" t="str">
        <f t="shared" si="44"/>
        <v/>
      </c>
    </row>
    <row r="2825" spans="1:1">
      <c r="A2825" t="str">
        <f t="shared" si="44"/>
        <v/>
      </c>
    </row>
    <row r="2826" spans="1:1">
      <c r="A2826" t="str">
        <f t="shared" si="44"/>
        <v/>
      </c>
    </row>
    <row r="2827" spans="1:1">
      <c r="A2827" t="str">
        <f t="shared" si="44"/>
        <v/>
      </c>
    </row>
    <row r="2828" spans="1:1">
      <c r="A2828" t="str">
        <f t="shared" si="44"/>
        <v/>
      </c>
    </row>
    <row r="2829" spans="1:1">
      <c r="A2829" t="str">
        <f t="shared" si="44"/>
        <v/>
      </c>
    </row>
    <row r="2830" spans="1:1">
      <c r="A2830" t="str">
        <f t="shared" si="44"/>
        <v/>
      </c>
    </row>
    <row r="2831" spans="1:1">
      <c r="A2831" t="str">
        <f t="shared" si="44"/>
        <v/>
      </c>
    </row>
    <row r="2832" spans="1:1">
      <c r="A2832" t="str">
        <f t="shared" si="44"/>
        <v/>
      </c>
    </row>
    <row r="2833" spans="1:1">
      <c r="A2833" t="str">
        <f t="shared" si="44"/>
        <v/>
      </c>
    </row>
    <row r="2834" spans="1:1">
      <c r="A2834" t="str">
        <f t="shared" si="44"/>
        <v/>
      </c>
    </row>
    <row r="2835" spans="1:1">
      <c r="A2835" t="str">
        <f t="shared" si="44"/>
        <v/>
      </c>
    </row>
    <row r="2836" spans="1:1">
      <c r="A2836" t="str">
        <f t="shared" si="44"/>
        <v/>
      </c>
    </row>
    <row r="2837" spans="1:1">
      <c r="A2837" t="str">
        <f t="shared" si="44"/>
        <v/>
      </c>
    </row>
    <row r="2838" spans="1:1">
      <c r="A2838" t="str">
        <f t="shared" si="44"/>
        <v/>
      </c>
    </row>
    <row r="2839" spans="1:1">
      <c r="A2839" t="str">
        <f t="shared" si="44"/>
        <v/>
      </c>
    </row>
    <row r="2840" spans="1:1">
      <c r="A2840" t="str">
        <f t="shared" si="44"/>
        <v/>
      </c>
    </row>
    <row r="2841" spans="1:1">
      <c r="A2841" t="str">
        <f t="shared" si="44"/>
        <v/>
      </c>
    </row>
    <row r="2842" spans="1:1">
      <c r="A2842" t="str">
        <f t="shared" si="44"/>
        <v/>
      </c>
    </row>
    <row r="2843" spans="1:1">
      <c r="A2843" t="str">
        <f t="shared" si="44"/>
        <v/>
      </c>
    </row>
    <row r="2844" spans="1:1">
      <c r="A2844" t="str">
        <f t="shared" si="44"/>
        <v/>
      </c>
    </row>
    <row r="2845" spans="1:1">
      <c r="A2845" t="str">
        <f t="shared" si="44"/>
        <v/>
      </c>
    </row>
    <row r="2846" spans="1:1">
      <c r="A2846" t="str">
        <f t="shared" si="44"/>
        <v/>
      </c>
    </row>
    <row r="2847" spans="1:1">
      <c r="A2847" t="str">
        <f t="shared" si="44"/>
        <v/>
      </c>
    </row>
    <row r="2848" spans="1:1">
      <c r="A2848" t="str">
        <f t="shared" si="44"/>
        <v/>
      </c>
    </row>
    <row r="2849" spans="1:1">
      <c r="A2849" t="str">
        <f t="shared" si="44"/>
        <v/>
      </c>
    </row>
    <row r="2850" spans="1:1">
      <c r="A2850" t="str">
        <f t="shared" si="44"/>
        <v/>
      </c>
    </row>
    <row r="2851" spans="1:1">
      <c r="A2851" t="str">
        <f t="shared" si="44"/>
        <v/>
      </c>
    </row>
    <row r="2852" spans="1:1">
      <c r="A2852" t="str">
        <f t="shared" si="44"/>
        <v/>
      </c>
    </row>
    <row r="2853" spans="1:1">
      <c r="A2853" t="str">
        <f t="shared" si="44"/>
        <v/>
      </c>
    </row>
    <row r="2854" spans="1:1">
      <c r="A2854" t="str">
        <f t="shared" si="44"/>
        <v/>
      </c>
    </row>
    <row r="2855" spans="1:1">
      <c r="A2855" t="str">
        <f t="shared" si="44"/>
        <v/>
      </c>
    </row>
    <row r="2856" spans="1:1">
      <c r="A2856" t="str">
        <f t="shared" si="44"/>
        <v/>
      </c>
    </row>
    <row r="2857" spans="1:1">
      <c r="A2857" t="str">
        <f t="shared" si="44"/>
        <v/>
      </c>
    </row>
    <row r="2858" spans="1:1">
      <c r="A2858" t="str">
        <f t="shared" si="44"/>
        <v/>
      </c>
    </row>
    <row r="2859" spans="1:1">
      <c r="A2859" t="str">
        <f t="shared" si="44"/>
        <v/>
      </c>
    </row>
    <row r="2860" spans="1:1">
      <c r="A2860" t="str">
        <f t="shared" si="44"/>
        <v/>
      </c>
    </row>
    <row r="2861" spans="1:1">
      <c r="A2861" t="str">
        <f t="shared" si="44"/>
        <v/>
      </c>
    </row>
    <row r="2862" spans="1:1">
      <c r="A2862" t="str">
        <f t="shared" si="44"/>
        <v/>
      </c>
    </row>
    <row r="2863" spans="1:1">
      <c r="A2863" t="str">
        <f t="shared" si="44"/>
        <v/>
      </c>
    </row>
    <row r="2864" spans="1:1">
      <c r="A2864" t="str">
        <f t="shared" si="44"/>
        <v/>
      </c>
    </row>
    <row r="2865" spans="1:1">
      <c r="A2865" t="str">
        <f t="shared" si="44"/>
        <v/>
      </c>
    </row>
    <row r="2866" spans="1:1">
      <c r="A2866" t="str">
        <f t="shared" si="44"/>
        <v/>
      </c>
    </row>
    <row r="2867" spans="1:1">
      <c r="A2867" t="str">
        <f t="shared" si="44"/>
        <v/>
      </c>
    </row>
    <row r="2868" spans="1:1">
      <c r="A2868" t="str">
        <f t="shared" si="44"/>
        <v/>
      </c>
    </row>
    <row r="2869" spans="1:1">
      <c r="A2869" t="str">
        <f t="shared" si="44"/>
        <v/>
      </c>
    </row>
    <row r="2870" spans="1:1">
      <c r="A2870" t="str">
        <f t="shared" si="44"/>
        <v/>
      </c>
    </row>
    <row r="2871" spans="1:1">
      <c r="A2871" t="str">
        <f t="shared" si="44"/>
        <v/>
      </c>
    </row>
    <row r="2872" spans="1:1">
      <c r="A2872" t="str">
        <f t="shared" si="44"/>
        <v/>
      </c>
    </row>
    <row r="2873" spans="1:1">
      <c r="A2873" t="str">
        <f t="shared" si="44"/>
        <v/>
      </c>
    </row>
    <row r="2874" spans="1:1">
      <c r="A2874" t="str">
        <f t="shared" si="44"/>
        <v/>
      </c>
    </row>
    <row r="2875" spans="1:1">
      <c r="A2875" t="str">
        <f t="shared" si="44"/>
        <v/>
      </c>
    </row>
    <row r="2876" spans="1:1">
      <c r="A2876" t="str">
        <f t="shared" si="44"/>
        <v/>
      </c>
    </row>
    <row r="2877" spans="1:1">
      <c r="A2877" t="str">
        <f t="shared" si="44"/>
        <v/>
      </c>
    </row>
    <row r="2878" spans="1:1">
      <c r="A2878" t="str">
        <f t="shared" si="44"/>
        <v/>
      </c>
    </row>
    <row r="2879" spans="1:1">
      <c r="A2879" t="str">
        <f t="shared" si="44"/>
        <v/>
      </c>
    </row>
    <row r="2880" spans="1:1">
      <c r="A2880" t="str">
        <f t="shared" ref="A2880:A2943" si="45">CONCATENATE(I2880, B2880)</f>
        <v/>
      </c>
    </row>
    <row r="2881" spans="1:1">
      <c r="A2881" t="str">
        <f t="shared" si="45"/>
        <v/>
      </c>
    </row>
    <row r="2882" spans="1:1">
      <c r="A2882" t="str">
        <f t="shared" si="45"/>
        <v/>
      </c>
    </row>
    <row r="2883" spans="1:1">
      <c r="A2883" t="str">
        <f t="shared" si="45"/>
        <v/>
      </c>
    </row>
    <row r="2884" spans="1:1">
      <c r="A2884" t="str">
        <f t="shared" si="45"/>
        <v/>
      </c>
    </row>
    <row r="2885" spans="1:1">
      <c r="A2885" t="str">
        <f t="shared" si="45"/>
        <v/>
      </c>
    </row>
    <row r="2886" spans="1:1">
      <c r="A2886" t="str">
        <f t="shared" si="45"/>
        <v/>
      </c>
    </row>
    <row r="2887" spans="1:1">
      <c r="A2887" t="str">
        <f t="shared" si="45"/>
        <v/>
      </c>
    </row>
    <row r="2888" spans="1:1">
      <c r="A2888" t="str">
        <f t="shared" si="45"/>
        <v/>
      </c>
    </row>
    <row r="2889" spans="1:1">
      <c r="A2889" t="str">
        <f t="shared" si="45"/>
        <v/>
      </c>
    </row>
    <row r="2890" spans="1:1">
      <c r="A2890" t="str">
        <f t="shared" si="45"/>
        <v/>
      </c>
    </row>
    <row r="2891" spans="1:1">
      <c r="A2891" t="str">
        <f t="shared" si="45"/>
        <v/>
      </c>
    </row>
    <row r="2892" spans="1:1">
      <c r="A2892" t="str">
        <f t="shared" si="45"/>
        <v/>
      </c>
    </row>
    <row r="2893" spans="1:1">
      <c r="A2893" t="str">
        <f t="shared" si="45"/>
        <v/>
      </c>
    </row>
    <row r="2894" spans="1:1">
      <c r="A2894" t="str">
        <f t="shared" si="45"/>
        <v/>
      </c>
    </row>
    <row r="2895" spans="1:1">
      <c r="A2895" t="str">
        <f t="shared" si="45"/>
        <v/>
      </c>
    </row>
    <row r="2896" spans="1:1">
      <c r="A2896" t="str">
        <f t="shared" si="45"/>
        <v/>
      </c>
    </row>
    <row r="2897" spans="1:1">
      <c r="A2897" t="str">
        <f t="shared" si="45"/>
        <v/>
      </c>
    </row>
    <row r="2898" spans="1:1">
      <c r="A2898" t="str">
        <f t="shared" si="45"/>
        <v/>
      </c>
    </row>
    <row r="2899" spans="1:1">
      <c r="A2899" t="str">
        <f t="shared" si="45"/>
        <v/>
      </c>
    </row>
    <row r="2900" spans="1:1">
      <c r="A2900" t="str">
        <f t="shared" si="45"/>
        <v/>
      </c>
    </row>
    <row r="2901" spans="1:1">
      <c r="A2901" t="str">
        <f t="shared" si="45"/>
        <v/>
      </c>
    </row>
    <row r="2902" spans="1:1">
      <c r="A2902" t="str">
        <f t="shared" si="45"/>
        <v/>
      </c>
    </row>
    <row r="2903" spans="1:1">
      <c r="A2903" t="str">
        <f t="shared" si="45"/>
        <v/>
      </c>
    </row>
    <row r="2904" spans="1:1">
      <c r="A2904" t="str">
        <f t="shared" si="45"/>
        <v/>
      </c>
    </row>
    <row r="2905" spans="1:1">
      <c r="A2905" t="str">
        <f t="shared" si="45"/>
        <v/>
      </c>
    </row>
    <row r="2906" spans="1:1">
      <c r="A2906" t="str">
        <f t="shared" si="45"/>
        <v/>
      </c>
    </row>
    <row r="2907" spans="1:1">
      <c r="A2907" t="str">
        <f t="shared" si="45"/>
        <v/>
      </c>
    </row>
    <row r="2908" spans="1:1">
      <c r="A2908" t="str">
        <f t="shared" si="45"/>
        <v/>
      </c>
    </row>
    <row r="2909" spans="1:1">
      <c r="A2909" t="str">
        <f t="shared" si="45"/>
        <v/>
      </c>
    </row>
    <row r="2910" spans="1:1">
      <c r="A2910" t="str">
        <f t="shared" si="45"/>
        <v/>
      </c>
    </row>
    <row r="2911" spans="1:1">
      <c r="A2911" t="str">
        <f t="shared" si="45"/>
        <v/>
      </c>
    </row>
    <row r="2912" spans="1:1">
      <c r="A2912" t="str">
        <f t="shared" si="45"/>
        <v/>
      </c>
    </row>
    <row r="2913" spans="1:1">
      <c r="A2913" t="str">
        <f t="shared" si="45"/>
        <v/>
      </c>
    </row>
    <row r="2914" spans="1:1">
      <c r="A2914" t="str">
        <f t="shared" si="45"/>
        <v/>
      </c>
    </row>
    <row r="2915" spans="1:1">
      <c r="A2915" t="str">
        <f t="shared" si="45"/>
        <v/>
      </c>
    </row>
    <row r="2916" spans="1:1">
      <c r="A2916" t="str">
        <f t="shared" si="45"/>
        <v/>
      </c>
    </row>
    <row r="2917" spans="1:1">
      <c r="A2917" t="str">
        <f t="shared" si="45"/>
        <v/>
      </c>
    </row>
    <row r="2918" spans="1:1">
      <c r="A2918" t="str">
        <f t="shared" si="45"/>
        <v/>
      </c>
    </row>
    <row r="2919" spans="1:1">
      <c r="A2919" t="str">
        <f t="shared" si="45"/>
        <v/>
      </c>
    </row>
    <row r="2920" spans="1:1">
      <c r="A2920" t="str">
        <f t="shared" si="45"/>
        <v/>
      </c>
    </row>
    <row r="2921" spans="1:1">
      <c r="A2921" t="str">
        <f t="shared" si="45"/>
        <v/>
      </c>
    </row>
    <row r="2922" spans="1:1">
      <c r="A2922" t="str">
        <f t="shared" si="45"/>
        <v/>
      </c>
    </row>
    <row r="2923" spans="1:1">
      <c r="A2923" t="str">
        <f t="shared" si="45"/>
        <v/>
      </c>
    </row>
    <row r="2924" spans="1:1">
      <c r="A2924" t="str">
        <f t="shared" si="45"/>
        <v/>
      </c>
    </row>
    <row r="2925" spans="1:1">
      <c r="A2925" t="str">
        <f t="shared" si="45"/>
        <v/>
      </c>
    </row>
    <row r="2926" spans="1:1">
      <c r="A2926" t="str">
        <f t="shared" si="45"/>
        <v/>
      </c>
    </row>
    <row r="2927" spans="1:1">
      <c r="A2927" t="str">
        <f t="shared" si="45"/>
        <v/>
      </c>
    </row>
    <row r="2928" spans="1:1">
      <c r="A2928" t="str">
        <f t="shared" si="45"/>
        <v/>
      </c>
    </row>
    <row r="2929" spans="1:1">
      <c r="A2929" t="str">
        <f t="shared" si="45"/>
        <v/>
      </c>
    </row>
    <row r="2930" spans="1:1">
      <c r="A2930" t="str">
        <f t="shared" si="45"/>
        <v/>
      </c>
    </row>
    <row r="2931" spans="1:1">
      <c r="A2931" t="str">
        <f t="shared" si="45"/>
        <v/>
      </c>
    </row>
    <row r="2932" spans="1:1">
      <c r="A2932" t="str">
        <f t="shared" si="45"/>
        <v/>
      </c>
    </row>
    <row r="2933" spans="1:1">
      <c r="A2933" t="str">
        <f t="shared" si="45"/>
        <v/>
      </c>
    </row>
    <row r="2934" spans="1:1">
      <c r="A2934" t="str">
        <f t="shared" si="45"/>
        <v/>
      </c>
    </row>
    <row r="2935" spans="1:1">
      <c r="A2935" t="str">
        <f t="shared" si="45"/>
        <v/>
      </c>
    </row>
    <row r="2936" spans="1:1">
      <c r="A2936" t="str">
        <f t="shared" si="45"/>
        <v/>
      </c>
    </row>
    <row r="2937" spans="1:1">
      <c r="A2937" t="str">
        <f t="shared" si="45"/>
        <v/>
      </c>
    </row>
    <row r="2938" spans="1:1">
      <c r="A2938" t="str">
        <f t="shared" si="45"/>
        <v/>
      </c>
    </row>
    <row r="2939" spans="1:1">
      <c r="A2939" t="str">
        <f t="shared" si="45"/>
        <v/>
      </c>
    </row>
    <row r="2940" spans="1:1">
      <c r="A2940" t="str">
        <f t="shared" si="45"/>
        <v/>
      </c>
    </row>
    <row r="2941" spans="1:1">
      <c r="A2941" t="str">
        <f t="shared" si="45"/>
        <v/>
      </c>
    </row>
    <row r="2942" spans="1:1">
      <c r="A2942" t="str">
        <f t="shared" si="45"/>
        <v/>
      </c>
    </row>
    <row r="2943" spans="1:1">
      <c r="A2943" t="str">
        <f t="shared" si="45"/>
        <v/>
      </c>
    </row>
    <row r="2944" spans="1:1">
      <c r="A2944" t="str">
        <f t="shared" ref="A2944:A3007" si="46">CONCATENATE(I2944, B2944)</f>
        <v/>
      </c>
    </row>
    <row r="2945" spans="1:1">
      <c r="A2945" t="str">
        <f t="shared" si="46"/>
        <v/>
      </c>
    </row>
    <row r="2946" spans="1:1">
      <c r="A2946" t="str">
        <f t="shared" si="46"/>
        <v/>
      </c>
    </row>
    <row r="2947" spans="1:1">
      <c r="A2947" t="str">
        <f t="shared" si="46"/>
        <v/>
      </c>
    </row>
    <row r="2948" spans="1:1">
      <c r="A2948" t="str">
        <f t="shared" si="46"/>
        <v/>
      </c>
    </row>
    <row r="2949" spans="1:1">
      <c r="A2949" t="str">
        <f t="shared" si="46"/>
        <v/>
      </c>
    </row>
    <row r="2950" spans="1:1">
      <c r="A2950" t="str">
        <f t="shared" si="46"/>
        <v/>
      </c>
    </row>
    <row r="2951" spans="1:1">
      <c r="A2951" t="str">
        <f t="shared" si="46"/>
        <v/>
      </c>
    </row>
    <row r="2952" spans="1:1">
      <c r="A2952" t="str">
        <f t="shared" si="46"/>
        <v/>
      </c>
    </row>
    <row r="2953" spans="1:1">
      <c r="A2953" t="str">
        <f t="shared" si="46"/>
        <v/>
      </c>
    </row>
    <row r="2954" spans="1:1">
      <c r="A2954" t="str">
        <f t="shared" si="46"/>
        <v/>
      </c>
    </row>
    <row r="2955" spans="1:1">
      <c r="A2955" t="str">
        <f t="shared" si="46"/>
        <v/>
      </c>
    </row>
    <row r="2956" spans="1:1">
      <c r="A2956" t="str">
        <f t="shared" si="46"/>
        <v/>
      </c>
    </row>
    <row r="2957" spans="1:1">
      <c r="A2957" t="str">
        <f t="shared" si="46"/>
        <v/>
      </c>
    </row>
    <row r="2958" spans="1:1">
      <c r="A2958" t="str">
        <f t="shared" si="46"/>
        <v/>
      </c>
    </row>
    <row r="2959" spans="1:1">
      <c r="A2959" t="str">
        <f t="shared" si="46"/>
        <v/>
      </c>
    </row>
    <row r="2960" spans="1:1">
      <c r="A2960" t="str">
        <f t="shared" si="46"/>
        <v/>
      </c>
    </row>
    <row r="2961" spans="1:1">
      <c r="A2961" t="str">
        <f t="shared" si="46"/>
        <v/>
      </c>
    </row>
    <row r="2962" spans="1:1">
      <c r="A2962" t="str">
        <f t="shared" si="46"/>
        <v/>
      </c>
    </row>
    <row r="2963" spans="1:1">
      <c r="A2963" t="str">
        <f t="shared" si="46"/>
        <v/>
      </c>
    </row>
    <row r="2964" spans="1:1">
      <c r="A2964" t="str">
        <f t="shared" si="46"/>
        <v/>
      </c>
    </row>
    <row r="2965" spans="1:1">
      <c r="A2965" t="str">
        <f t="shared" si="46"/>
        <v/>
      </c>
    </row>
    <row r="2966" spans="1:1">
      <c r="A2966" t="str">
        <f t="shared" si="46"/>
        <v/>
      </c>
    </row>
    <row r="2967" spans="1:1">
      <c r="A2967" t="str">
        <f t="shared" si="46"/>
        <v/>
      </c>
    </row>
    <row r="2968" spans="1:1">
      <c r="A2968" t="str">
        <f t="shared" si="46"/>
        <v/>
      </c>
    </row>
    <row r="2969" spans="1:1">
      <c r="A2969" t="str">
        <f t="shared" si="46"/>
        <v/>
      </c>
    </row>
    <row r="2970" spans="1:1">
      <c r="A2970" t="str">
        <f t="shared" si="46"/>
        <v/>
      </c>
    </row>
    <row r="2971" spans="1:1">
      <c r="A2971" t="str">
        <f t="shared" si="46"/>
        <v/>
      </c>
    </row>
    <row r="2972" spans="1:1">
      <c r="A2972" t="str">
        <f t="shared" si="46"/>
        <v/>
      </c>
    </row>
    <row r="2973" spans="1:1">
      <c r="A2973" t="str">
        <f t="shared" si="46"/>
        <v/>
      </c>
    </row>
    <row r="2974" spans="1:1">
      <c r="A2974" t="str">
        <f t="shared" si="46"/>
        <v/>
      </c>
    </row>
    <row r="2975" spans="1:1">
      <c r="A2975" t="str">
        <f t="shared" si="46"/>
        <v/>
      </c>
    </row>
    <row r="2976" spans="1:1">
      <c r="A2976" t="str">
        <f t="shared" si="46"/>
        <v/>
      </c>
    </row>
    <row r="2977" spans="1:1">
      <c r="A2977" t="str">
        <f t="shared" si="46"/>
        <v/>
      </c>
    </row>
    <row r="2978" spans="1:1">
      <c r="A2978" t="str">
        <f t="shared" si="46"/>
        <v/>
      </c>
    </row>
    <row r="2979" spans="1:1">
      <c r="A2979" t="str">
        <f t="shared" si="46"/>
        <v/>
      </c>
    </row>
    <row r="2980" spans="1:1">
      <c r="A2980" t="str">
        <f t="shared" si="46"/>
        <v/>
      </c>
    </row>
    <row r="2981" spans="1:1">
      <c r="A2981" t="str">
        <f t="shared" si="46"/>
        <v/>
      </c>
    </row>
    <row r="2982" spans="1:1">
      <c r="A2982" t="str">
        <f t="shared" si="46"/>
        <v/>
      </c>
    </row>
    <row r="2983" spans="1:1">
      <c r="A2983" t="str">
        <f t="shared" si="46"/>
        <v/>
      </c>
    </row>
    <row r="2984" spans="1:1">
      <c r="A2984" t="str">
        <f t="shared" si="46"/>
        <v/>
      </c>
    </row>
    <row r="2985" spans="1:1">
      <c r="A2985" t="str">
        <f t="shared" si="46"/>
        <v/>
      </c>
    </row>
    <row r="2986" spans="1:1">
      <c r="A2986" t="str">
        <f t="shared" si="46"/>
        <v/>
      </c>
    </row>
    <row r="2987" spans="1:1">
      <c r="A2987" t="str">
        <f t="shared" si="46"/>
        <v/>
      </c>
    </row>
    <row r="2988" spans="1:1">
      <c r="A2988" t="str">
        <f t="shared" si="46"/>
        <v/>
      </c>
    </row>
    <row r="2989" spans="1:1">
      <c r="A2989" t="str">
        <f t="shared" si="46"/>
        <v/>
      </c>
    </row>
    <row r="2990" spans="1:1">
      <c r="A2990" t="str">
        <f t="shared" si="46"/>
        <v/>
      </c>
    </row>
    <row r="2991" spans="1:1">
      <c r="A2991" t="str">
        <f t="shared" si="46"/>
        <v/>
      </c>
    </row>
    <row r="2992" spans="1:1">
      <c r="A2992" t="str">
        <f t="shared" si="46"/>
        <v/>
      </c>
    </row>
    <row r="2993" spans="1:1">
      <c r="A2993" t="str">
        <f t="shared" si="46"/>
        <v/>
      </c>
    </row>
    <row r="2994" spans="1:1">
      <c r="A2994" t="str">
        <f t="shared" si="46"/>
        <v/>
      </c>
    </row>
    <row r="2995" spans="1:1">
      <c r="A2995" t="str">
        <f t="shared" si="46"/>
        <v/>
      </c>
    </row>
    <row r="2996" spans="1:1">
      <c r="A2996" t="str">
        <f t="shared" si="46"/>
        <v/>
      </c>
    </row>
    <row r="2997" spans="1:1">
      <c r="A2997" t="str">
        <f t="shared" si="46"/>
        <v/>
      </c>
    </row>
    <row r="2998" spans="1:1">
      <c r="A2998" t="str">
        <f t="shared" si="46"/>
        <v/>
      </c>
    </row>
    <row r="2999" spans="1:1">
      <c r="A2999" t="str">
        <f t="shared" si="46"/>
        <v/>
      </c>
    </row>
    <row r="3000" spans="1:1">
      <c r="A3000" t="str">
        <f t="shared" si="46"/>
        <v/>
      </c>
    </row>
    <row r="3001" spans="1:1">
      <c r="A3001" t="str">
        <f t="shared" si="46"/>
        <v/>
      </c>
    </row>
    <row r="3002" spans="1:1">
      <c r="A3002" t="str">
        <f t="shared" si="46"/>
        <v/>
      </c>
    </row>
    <row r="3003" spans="1:1">
      <c r="A3003" t="str">
        <f t="shared" si="46"/>
        <v/>
      </c>
    </row>
    <row r="3004" spans="1:1">
      <c r="A3004" t="str">
        <f t="shared" si="46"/>
        <v/>
      </c>
    </row>
    <row r="3005" spans="1:1">
      <c r="A3005" t="str">
        <f t="shared" si="46"/>
        <v/>
      </c>
    </row>
    <row r="3006" spans="1:1">
      <c r="A3006" t="str">
        <f t="shared" si="46"/>
        <v/>
      </c>
    </row>
    <row r="3007" spans="1:1">
      <c r="A3007" t="str">
        <f t="shared" si="46"/>
        <v/>
      </c>
    </row>
    <row r="3008" spans="1:1">
      <c r="A3008" t="str">
        <f t="shared" ref="A3008:A3071" si="47">CONCATENATE(I3008, B3008)</f>
        <v/>
      </c>
    </row>
    <row r="3009" spans="1:1">
      <c r="A3009" t="str">
        <f t="shared" si="47"/>
        <v/>
      </c>
    </row>
    <row r="3010" spans="1:1">
      <c r="A3010" t="str">
        <f t="shared" si="47"/>
        <v/>
      </c>
    </row>
    <row r="3011" spans="1:1">
      <c r="A3011" t="str">
        <f t="shared" si="47"/>
        <v/>
      </c>
    </row>
    <row r="3012" spans="1:1">
      <c r="A3012" t="str">
        <f t="shared" si="47"/>
        <v/>
      </c>
    </row>
    <row r="3013" spans="1:1">
      <c r="A3013" t="str">
        <f t="shared" si="47"/>
        <v/>
      </c>
    </row>
    <row r="3014" spans="1:1">
      <c r="A3014" t="str">
        <f t="shared" si="47"/>
        <v/>
      </c>
    </row>
    <row r="3015" spans="1:1">
      <c r="A3015" t="str">
        <f t="shared" si="47"/>
        <v/>
      </c>
    </row>
    <row r="3016" spans="1:1">
      <c r="A3016" t="str">
        <f t="shared" si="47"/>
        <v/>
      </c>
    </row>
    <row r="3017" spans="1:1">
      <c r="A3017" t="str">
        <f t="shared" si="47"/>
        <v/>
      </c>
    </row>
    <row r="3018" spans="1:1">
      <c r="A3018" t="str">
        <f t="shared" si="47"/>
        <v/>
      </c>
    </row>
    <row r="3019" spans="1:1">
      <c r="A3019" t="str">
        <f t="shared" si="47"/>
        <v/>
      </c>
    </row>
    <row r="3020" spans="1:1">
      <c r="A3020" t="str">
        <f t="shared" si="47"/>
        <v/>
      </c>
    </row>
    <row r="3021" spans="1:1">
      <c r="A3021" t="str">
        <f t="shared" si="47"/>
        <v/>
      </c>
    </row>
    <row r="3022" spans="1:1">
      <c r="A3022" t="str">
        <f t="shared" si="47"/>
        <v/>
      </c>
    </row>
    <row r="3023" spans="1:1">
      <c r="A3023" t="str">
        <f t="shared" si="47"/>
        <v/>
      </c>
    </row>
    <row r="3024" spans="1:1">
      <c r="A3024" t="str">
        <f t="shared" si="47"/>
        <v/>
      </c>
    </row>
    <row r="3025" spans="1:1">
      <c r="A3025" t="str">
        <f t="shared" si="47"/>
        <v/>
      </c>
    </row>
    <row r="3026" spans="1:1">
      <c r="A3026" t="str">
        <f t="shared" si="47"/>
        <v/>
      </c>
    </row>
    <row r="3027" spans="1:1">
      <c r="A3027" t="str">
        <f t="shared" si="47"/>
        <v/>
      </c>
    </row>
    <row r="3028" spans="1:1">
      <c r="A3028" t="str">
        <f t="shared" si="47"/>
        <v/>
      </c>
    </row>
    <row r="3029" spans="1:1">
      <c r="A3029" t="str">
        <f t="shared" si="47"/>
        <v/>
      </c>
    </row>
    <row r="3030" spans="1:1">
      <c r="A3030" t="str">
        <f t="shared" si="47"/>
        <v/>
      </c>
    </row>
    <row r="3031" spans="1:1">
      <c r="A3031" t="str">
        <f t="shared" si="47"/>
        <v/>
      </c>
    </row>
    <row r="3032" spans="1:1">
      <c r="A3032" t="str">
        <f t="shared" si="47"/>
        <v/>
      </c>
    </row>
    <row r="3033" spans="1:1">
      <c r="A3033" t="str">
        <f t="shared" si="47"/>
        <v/>
      </c>
    </row>
    <row r="3034" spans="1:1">
      <c r="A3034" t="str">
        <f t="shared" si="47"/>
        <v/>
      </c>
    </row>
    <row r="3035" spans="1:1">
      <c r="A3035" t="str">
        <f t="shared" si="47"/>
        <v/>
      </c>
    </row>
    <row r="3036" spans="1:1">
      <c r="A3036" t="str">
        <f t="shared" si="47"/>
        <v/>
      </c>
    </row>
    <row r="3037" spans="1:1">
      <c r="A3037" t="str">
        <f t="shared" si="47"/>
        <v/>
      </c>
    </row>
    <row r="3038" spans="1:1">
      <c r="A3038" t="str">
        <f t="shared" si="47"/>
        <v/>
      </c>
    </row>
    <row r="3039" spans="1:1">
      <c r="A3039" t="str">
        <f t="shared" si="47"/>
        <v/>
      </c>
    </row>
    <row r="3040" spans="1:1">
      <c r="A3040" t="str">
        <f t="shared" si="47"/>
        <v/>
      </c>
    </row>
    <row r="3041" spans="1:1">
      <c r="A3041" t="str">
        <f t="shared" si="47"/>
        <v/>
      </c>
    </row>
    <row r="3042" spans="1:1">
      <c r="A3042" t="str">
        <f t="shared" si="47"/>
        <v/>
      </c>
    </row>
    <row r="3043" spans="1:1">
      <c r="A3043" t="str">
        <f t="shared" si="47"/>
        <v/>
      </c>
    </row>
    <row r="3044" spans="1:1">
      <c r="A3044" t="str">
        <f t="shared" si="47"/>
        <v/>
      </c>
    </row>
    <row r="3045" spans="1:1">
      <c r="A3045" t="str">
        <f t="shared" si="47"/>
        <v/>
      </c>
    </row>
    <row r="3046" spans="1:1">
      <c r="A3046" t="str">
        <f t="shared" si="47"/>
        <v/>
      </c>
    </row>
    <row r="3047" spans="1:1">
      <c r="A3047" t="str">
        <f t="shared" si="47"/>
        <v/>
      </c>
    </row>
    <row r="3048" spans="1:1">
      <c r="A3048" t="str">
        <f t="shared" si="47"/>
        <v/>
      </c>
    </row>
    <row r="3049" spans="1:1">
      <c r="A3049" t="str">
        <f t="shared" si="47"/>
        <v/>
      </c>
    </row>
    <row r="3050" spans="1:1">
      <c r="A3050" t="str">
        <f t="shared" si="47"/>
        <v/>
      </c>
    </row>
    <row r="3051" spans="1:1">
      <c r="A3051" t="str">
        <f t="shared" si="47"/>
        <v/>
      </c>
    </row>
    <row r="3052" spans="1:1">
      <c r="A3052" t="str">
        <f t="shared" si="47"/>
        <v/>
      </c>
    </row>
    <row r="3053" spans="1:1">
      <c r="A3053" t="str">
        <f t="shared" si="47"/>
        <v/>
      </c>
    </row>
    <row r="3054" spans="1:1">
      <c r="A3054" t="str">
        <f t="shared" si="47"/>
        <v/>
      </c>
    </row>
    <row r="3055" spans="1:1">
      <c r="A3055" t="str">
        <f t="shared" si="47"/>
        <v/>
      </c>
    </row>
    <row r="3056" spans="1:1">
      <c r="A3056" t="str">
        <f t="shared" si="47"/>
        <v/>
      </c>
    </row>
    <row r="3057" spans="1:1">
      <c r="A3057" t="str">
        <f t="shared" si="47"/>
        <v/>
      </c>
    </row>
    <row r="3058" spans="1:1">
      <c r="A3058" t="str">
        <f t="shared" si="47"/>
        <v/>
      </c>
    </row>
    <row r="3059" spans="1:1">
      <c r="A3059" t="str">
        <f t="shared" si="47"/>
        <v/>
      </c>
    </row>
    <row r="3060" spans="1:1">
      <c r="A3060" t="str">
        <f t="shared" si="47"/>
        <v/>
      </c>
    </row>
    <row r="3061" spans="1:1">
      <c r="A3061" t="str">
        <f t="shared" si="47"/>
        <v/>
      </c>
    </row>
    <row r="3062" spans="1:1">
      <c r="A3062" t="str">
        <f t="shared" si="47"/>
        <v/>
      </c>
    </row>
    <row r="3063" spans="1:1">
      <c r="A3063" t="str">
        <f t="shared" si="47"/>
        <v/>
      </c>
    </row>
    <row r="3064" spans="1:1">
      <c r="A3064" t="str">
        <f t="shared" si="47"/>
        <v/>
      </c>
    </row>
    <row r="3065" spans="1:1">
      <c r="A3065" t="str">
        <f t="shared" si="47"/>
        <v/>
      </c>
    </row>
    <row r="3066" spans="1:1">
      <c r="A3066" t="str">
        <f t="shared" si="47"/>
        <v/>
      </c>
    </row>
    <row r="3067" spans="1:1">
      <c r="A3067" t="str">
        <f t="shared" si="47"/>
        <v/>
      </c>
    </row>
    <row r="3068" spans="1:1">
      <c r="A3068" t="str">
        <f t="shared" si="47"/>
        <v/>
      </c>
    </row>
    <row r="3069" spans="1:1">
      <c r="A3069" t="str">
        <f t="shared" si="47"/>
        <v/>
      </c>
    </row>
    <row r="3070" spans="1:1">
      <c r="A3070" t="str">
        <f t="shared" si="47"/>
        <v/>
      </c>
    </row>
    <row r="3071" spans="1:1">
      <c r="A3071" t="str">
        <f t="shared" si="47"/>
        <v/>
      </c>
    </row>
    <row r="3072" spans="1:1">
      <c r="A3072" t="str">
        <f t="shared" ref="A3072:A3135" si="48">CONCATENATE(I3072, B3072)</f>
        <v/>
      </c>
    </row>
    <row r="3073" spans="1:1">
      <c r="A3073" t="str">
        <f t="shared" si="48"/>
        <v/>
      </c>
    </row>
    <row r="3074" spans="1:1">
      <c r="A3074" t="str">
        <f t="shared" si="48"/>
        <v/>
      </c>
    </row>
    <row r="3075" spans="1:1">
      <c r="A3075" t="str">
        <f t="shared" si="48"/>
        <v/>
      </c>
    </row>
    <row r="3076" spans="1:1">
      <c r="A3076" t="str">
        <f t="shared" si="48"/>
        <v/>
      </c>
    </row>
    <row r="3077" spans="1:1">
      <c r="A3077" t="str">
        <f t="shared" si="48"/>
        <v/>
      </c>
    </row>
    <row r="3078" spans="1:1">
      <c r="A3078" t="str">
        <f t="shared" si="48"/>
        <v/>
      </c>
    </row>
    <row r="3079" spans="1:1">
      <c r="A3079" t="str">
        <f t="shared" si="48"/>
        <v/>
      </c>
    </row>
    <row r="3080" spans="1:1">
      <c r="A3080" t="str">
        <f t="shared" si="48"/>
        <v/>
      </c>
    </row>
    <row r="3081" spans="1:1">
      <c r="A3081" t="str">
        <f t="shared" si="48"/>
        <v/>
      </c>
    </row>
    <row r="3082" spans="1:1">
      <c r="A3082" t="str">
        <f t="shared" si="48"/>
        <v/>
      </c>
    </row>
    <row r="3083" spans="1:1">
      <c r="A3083" t="str">
        <f t="shared" si="48"/>
        <v/>
      </c>
    </row>
    <row r="3084" spans="1:1">
      <c r="A3084" t="str">
        <f t="shared" si="48"/>
        <v/>
      </c>
    </row>
    <row r="3085" spans="1:1">
      <c r="A3085" t="str">
        <f t="shared" si="48"/>
        <v/>
      </c>
    </row>
    <row r="3086" spans="1:1">
      <c r="A3086" t="str">
        <f t="shared" si="48"/>
        <v/>
      </c>
    </row>
    <row r="3087" spans="1:1">
      <c r="A3087" t="str">
        <f t="shared" si="48"/>
        <v/>
      </c>
    </row>
    <row r="3088" spans="1:1">
      <c r="A3088" t="str">
        <f t="shared" si="48"/>
        <v/>
      </c>
    </row>
    <row r="3089" spans="1:1">
      <c r="A3089" t="str">
        <f t="shared" si="48"/>
        <v/>
      </c>
    </row>
    <row r="3090" spans="1:1">
      <c r="A3090" t="str">
        <f t="shared" si="48"/>
        <v/>
      </c>
    </row>
    <row r="3091" spans="1:1">
      <c r="A3091" t="str">
        <f t="shared" si="48"/>
        <v/>
      </c>
    </row>
    <row r="3092" spans="1:1">
      <c r="A3092" t="str">
        <f t="shared" si="48"/>
        <v/>
      </c>
    </row>
    <row r="3093" spans="1:1">
      <c r="A3093" t="str">
        <f t="shared" si="48"/>
        <v/>
      </c>
    </row>
    <row r="3094" spans="1:1">
      <c r="A3094" t="str">
        <f t="shared" si="48"/>
        <v/>
      </c>
    </row>
    <row r="3095" spans="1:1">
      <c r="A3095" t="str">
        <f t="shared" si="48"/>
        <v/>
      </c>
    </row>
    <row r="3096" spans="1:1">
      <c r="A3096" t="str">
        <f t="shared" si="48"/>
        <v/>
      </c>
    </row>
    <row r="3097" spans="1:1">
      <c r="A3097" t="str">
        <f t="shared" si="48"/>
        <v/>
      </c>
    </row>
    <row r="3098" spans="1:1">
      <c r="A3098" t="str">
        <f t="shared" si="48"/>
        <v/>
      </c>
    </row>
    <row r="3099" spans="1:1">
      <c r="A3099" t="str">
        <f t="shared" si="48"/>
        <v/>
      </c>
    </row>
    <row r="3100" spans="1:1">
      <c r="A3100" t="str">
        <f t="shared" si="48"/>
        <v/>
      </c>
    </row>
    <row r="3101" spans="1:1">
      <c r="A3101" t="str">
        <f t="shared" si="48"/>
        <v/>
      </c>
    </row>
    <row r="3102" spans="1:1">
      <c r="A3102" t="str">
        <f t="shared" si="48"/>
        <v/>
      </c>
    </row>
    <row r="3103" spans="1:1">
      <c r="A3103" t="str">
        <f t="shared" si="48"/>
        <v/>
      </c>
    </row>
    <row r="3104" spans="1:1">
      <c r="A3104" t="str">
        <f t="shared" si="48"/>
        <v/>
      </c>
    </row>
    <row r="3105" spans="1:1">
      <c r="A3105" t="str">
        <f t="shared" si="48"/>
        <v/>
      </c>
    </row>
    <row r="3106" spans="1:1">
      <c r="A3106" t="str">
        <f t="shared" si="48"/>
        <v/>
      </c>
    </row>
    <row r="3107" spans="1:1">
      <c r="A3107" t="str">
        <f t="shared" si="48"/>
        <v/>
      </c>
    </row>
    <row r="3108" spans="1:1">
      <c r="A3108" t="str">
        <f t="shared" si="48"/>
        <v/>
      </c>
    </row>
    <row r="3109" spans="1:1">
      <c r="A3109" t="str">
        <f t="shared" si="48"/>
        <v/>
      </c>
    </row>
    <row r="3110" spans="1:1">
      <c r="A3110" t="str">
        <f t="shared" si="48"/>
        <v/>
      </c>
    </row>
    <row r="3111" spans="1:1">
      <c r="A3111" t="str">
        <f t="shared" si="48"/>
        <v/>
      </c>
    </row>
    <row r="3112" spans="1:1">
      <c r="A3112" t="str">
        <f t="shared" si="48"/>
        <v/>
      </c>
    </row>
    <row r="3113" spans="1:1">
      <c r="A3113" t="str">
        <f t="shared" si="48"/>
        <v/>
      </c>
    </row>
    <row r="3114" spans="1:1">
      <c r="A3114" t="str">
        <f t="shared" si="48"/>
        <v/>
      </c>
    </row>
    <row r="3115" spans="1:1">
      <c r="A3115" t="str">
        <f t="shared" si="48"/>
        <v/>
      </c>
    </row>
    <row r="3116" spans="1:1">
      <c r="A3116" t="str">
        <f t="shared" si="48"/>
        <v/>
      </c>
    </row>
    <row r="3117" spans="1:1">
      <c r="A3117" t="str">
        <f t="shared" si="48"/>
        <v/>
      </c>
    </row>
    <row r="3118" spans="1:1">
      <c r="A3118" t="str">
        <f t="shared" si="48"/>
        <v/>
      </c>
    </row>
    <row r="3119" spans="1:1">
      <c r="A3119" t="str">
        <f t="shared" si="48"/>
        <v/>
      </c>
    </row>
    <row r="3120" spans="1:1">
      <c r="A3120" t="str">
        <f t="shared" si="48"/>
        <v/>
      </c>
    </row>
    <row r="3121" spans="1:1">
      <c r="A3121" t="str">
        <f t="shared" si="48"/>
        <v/>
      </c>
    </row>
    <row r="3122" spans="1:1">
      <c r="A3122" t="str">
        <f t="shared" si="48"/>
        <v/>
      </c>
    </row>
    <row r="3123" spans="1:1">
      <c r="A3123" t="str">
        <f t="shared" si="48"/>
        <v/>
      </c>
    </row>
    <row r="3124" spans="1:1">
      <c r="A3124" t="str">
        <f t="shared" si="48"/>
        <v/>
      </c>
    </row>
    <row r="3125" spans="1:1">
      <c r="A3125" t="str">
        <f t="shared" si="48"/>
        <v/>
      </c>
    </row>
    <row r="3126" spans="1:1">
      <c r="A3126" t="str">
        <f t="shared" si="48"/>
        <v/>
      </c>
    </row>
    <row r="3127" spans="1:1">
      <c r="A3127" t="str">
        <f t="shared" si="48"/>
        <v/>
      </c>
    </row>
    <row r="3128" spans="1:1">
      <c r="A3128" t="str">
        <f t="shared" si="48"/>
        <v/>
      </c>
    </row>
    <row r="3129" spans="1:1">
      <c r="A3129" t="str">
        <f t="shared" si="48"/>
        <v/>
      </c>
    </row>
    <row r="3130" spans="1:1">
      <c r="A3130" t="str">
        <f t="shared" si="48"/>
        <v/>
      </c>
    </row>
    <row r="3131" spans="1:1">
      <c r="A3131" t="str">
        <f t="shared" si="48"/>
        <v/>
      </c>
    </row>
    <row r="3132" spans="1:1">
      <c r="A3132" t="str">
        <f t="shared" si="48"/>
        <v/>
      </c>
    </row>
    <row r="3133" spans="1:1">
      <c r="A3133" t="str">
        <f t="shared" si="48"/>
        <v/>
      </c>
    </row>
    <row r="3134" spans="1:1">
      <c r="A3134" t="str">
        <f t="shared" si="48"/>
        <v/>
      </c>
    </row>
    <row r="3135" spans="1:1">
      <c r="A3135" t="str">
        <f t="shared" si="48"/>
        <v/>
      </c>
    </row>
    <row r="3136" spans="1:1">
      <c r="A3136" t="str">
        <f t="shared" ref="A3136:A3199" si="49">CONCATENATE(I3136, B3136)</f>
        <v/>
      </c>
    </row>
    <row r="3137" spans="1:1">
      <c r="A3137" t="str">
        <f t="shared" si="49"/>
        <v/>
      </c>
    </row>
    <row r="3138" spans="1:1">
      <c r="A3138" t="str">
        <f t="shared" si="49"/>
        <v/>
      </c>
    </row>
    <row r="3139" spans="1:1">
      <c r="A3139" t="str">
        <f t="shared" si="49"/>
        <v/>
      </c>
    </row>
    <row r="3140" spans="1:1">
      <c r="A3140" t="str">
        <f t="shared" si="49"/>
        <v/>
      </c>
    </row>
    <row r="3141" spans="1:1">
      <c r="A3141" t="str">
        <f t="shared" si="49"/>
        <v/>
      </c>
    </row>
    <row r="3142" spans="1:1">
      <c r="A3142" t="str">
        <f t="shared" si="49"/>
        <v/>
      </c>
    </row>
    <row r="3143" spans="1:1">
      <c r="A3143" t="str">
        <f t="shared" si="49"/>
        <v/>
      </c>
    </row>
    <row r="3144" spans="1:1">
      <c r="A3144" t="str">
        <f t="shared" si="49"/>
        <v/>
      </c>
    </row>
    <row r="3145" spans="1:1">
      <c r="A3145" t="str">
        <f t="shared" si="49"/>
        <v/>
      </c>
    </row>
    <row r="3146" spans="1:1">
      <c r="A3146" t="str">
        <f t="shared" si="49"/>
        <v/>
      </c>
    </row>
    <row r="3147" spans="1:1">
      <c r="A3147" t="str">
        <f t="shared" si="49"/>
        <v/>
      </c>
    </row>
    <row r="3148" spans="1:1">
      <c r="A3148" t="str">
        <f t="shared" si="49"/>
        <v/>
      </c>
    </row>
    <row r="3149" spans="1:1">
      <c r="A3149" t="str">
        <f t="shared" si="49"/>
        <v/>
      </c>
    </row>
    <row r="3150" spans="1:1">
      <c r="A3150" t="str">
        <f t="shared" si="49"/>
        <v/>
      </c>
    </row>
    <row r="3151" spans="1:1">
      <c r="A3151" t="str">
        <f t="shared" si="49"/>
        <v/>
      </c>
    </row>
    <row r="3152" spans="1:1">
      <c r="A3152" t="str">
        <f t="shared" si="49"/>
        <v/>
      </c>
    </row>
    <row r="3153" spans="1:1">
      <c r="A3153" t="str">
        <f t="shared" si="49"/>
        <v/>
      </c>
    </row>
    <row r="3154" spans="1:1">
      <c r="A3154" t="str">
        <f t="shared" si="49"/>
        <v/>
      </c>
    </row>
    <row r="3155" spans="1:1">
      <c r="A3155" t="str">
        <f t="shared" si="49"/>
        <v/>
      </c>
    </row>
    <row r="3156" spans="1:1">
      <c r="A3156" t="str">
        <f t="shared" si="49"/>
        <v/>
      </c>
    </row>
    <row r="3157" spans="1:1">
      <c r="A3157" t="str">
        <f t="shared" si="49"/>
        <v/>
      </c>
    </row>
    <row r="3158" spans="1:1">
      <c r="A3158" t="str">
        <f t="shared" si="49"/>
        <v/>
      </c>
    </row>
    <row r="3159" spans="1:1">
      <c r="A3159" t="str">
        <f t="shared" si="49"/>
        <v/>
      </c>
    </row>
    <row r="3160" spans="1:1">
      <c r="A3160" t="str">
        <f t="shared" si="49"/>
        <v/>
      </c>
    </row>
    <row r="3161" spans="1:1">
      <c r="A3161" t="str">
        <f t="shared" si="49"/>
        <v/>
      </c>
    </row>
    <row r="3162" spans="1:1">
      <c r="A3162" t="str">
        <f t="shared" si="49"/>
        <v/>
      </c>
    </row>
    <row r="3163" spans="1:1">
      <c r="A3163" t="str">
        <f t="shared" si="49"/>
        <v/>
      </c>
    </row>
    <row r="3164" spans="1:1">
      <c r="A3164" t="str">
        <f t="shared" si="49"/>
        <v/>
      </c>
    </row>
    <row r="3165" spans="1:1">
      <c r="A3165" t="str">
        <f t="shared" si="49"/>
        <v/>
      </c>
    </row>
    <row r="3166" spans="1:1">
      <c r="A3166" t="str">
        <f t="shared" si="49"/>
        <v/>
      </c>
    </row>
    <row r="3167" spans="1:1">
      <c r="A3167" t="str">
        <f t="shared" si="49"/>
        <v/>
      </c>
    </row>
    <row r="3168" spans="1:1">
      <c r="A3168" t="str">
        <f t="shared" si="49"/>
        <v/>
      </c>
    </row>
    <row r="3169" spans="1:1">
      <c r="A3169" t="str">
        <f t="shared" si="49"/>
        <v/>
      </c>
    </row>
    <row r="3170" spans="1:1">
      <c r="A3170" t="str">
        <f t="shared" si="49"/>
        <v/>
      </c>
    </row>
    <row r="3171" spans="1:1">
      <c r="A3171" t="str">
        <f t="shared" si="49"/>
        <v/>
      </c>
    </row>
    <row r="3172" spans="1:1">
      <c r="A3172" t="str">
        <f t="shared" si="49"/>
        <v/>
      </c>
    </row>
    <row r="3173" spans="1:1">
      <c r="A3173" t="str">
        <f t="shared" si="49"/>
        <v/>
      </c>
    </row>
    <row r="3174" spans="1:1">
      <c r="A3174" t="str">
        <f t="shared" si="49"/>
        <v/>
      </c>
    </row>
    <row r="3175" spans="1:1">
      <c r="A3175" t="str">
        <f t="shared" si="49"/>
        <v/>
      </c>
    </row>
    <row r="3176" spans="1:1">
      <c r="A3176" t="str">
        <f t="shared" si="49"/>
        <v/>
      </c>
    </row>
    <row r="3177" spans="1:1">
      <c r="A3177" t="str">
        <f t="shared" si="49"/>
        <v/>
      </c>
    </row>
    <row r="3178" spans="1:1">
      <c r="A3178" t="str">
        <f t="shared" si="49"/>
        <v/>
      </c>
    </row>
    <row r="3179" spans="1:1">
      <c r="A3179" t="str">
        <f t="shared" si="49"/>
        <v/>
      </c>
    </row>
    <row r="3180" spans="1:1">
      <c r="A3180" t="str">
        <f t="shared" si="49"/>
        <v/>
      </c>
    </row>
    <row r="3181" spans="1:1">
      <c r="A3181" t="str">
        <f t="shared" si="49"/>
        <v/>
      </c>
    </row>
    <row r="3182" spans="1:1">
      <c r="A3182" t="str">
        <f t="shared" si="49"/>
        <v/>
      </c>
    </row>
    <row r="3183" spans="1:1">
      <c r="A3183" t="str">
        <f t="shared" si="49"/>
        <v/>
      </c>
    </row>
    <row r="3184" spans="1:1">
      <c r="A3184" t="str">
        <f t="shared" si="49"/>
        <v/>
      </c>
    </row>
    <row r="3185" spans="1:1">
      <c r="A3185" t="str">
        <f t="shared" si="49"/>
        <v/>
      </c>
    </row>
    <row r="3186" spans="1:1">
      <c r="A3186" t="str">
        <f t="shared" si="49"/>
        <v/>
      </c>
    </row>
    <row r="3187" spans="1:1">
      <c r="A3187" t="str">
        <f t="shared" si="49"/>
        <v/>
      </c>
    </row>
    <row r="3188" spans="1:1">
      <c r="A3188" t="str">
        <f t="shared" si="49"/>
        <v/>
      </c>
    </row>
    <row r="3189" spans="1:1">
      <c r="A3189" t="str">
        <f t="shared" si="49"/>
        <v/>
      </c>
    </row>
    <row r="3190" spans="1:1">
      <c r="A3190" t="str">
        <f t="shared" si="49"/>
        <v/>
      </c>
    </row>
    <row r="3191" spans="1:1">
      <c r="A3191" t="str">
        <f t="shared" si="49"/>
        <v/>
      </c>
    </row>
    <row r="3192" spans="1:1">
      <c r="A3192" t="str">
        <f t="shared" si="49"/>
        <v/>
      </c>
    </row>
    <row r="3193" spans="1:1">
      <c r="A3193" t="str">
        <f t="shared" si="49"/>
        <v/>
      </c>
    </row>
    <row r="3194" spans="1:1">
      <c r="A3194" t="str">
        <f t="shared" si="49"/>
        <v/>
      </c>
    </row>
    <row r="3195" spans="1:1">
      <c r="A3195" t="str">
        <f t="shared" si="49"/>
        <v/>
      </c>
    </row>
    <row r="3196" spans="1:1">
      <c r="A3196" t="str">
        <f t="shared" si="49"/>
        <v/>
      </c>
    </row>
    <row r="3197" spans="1:1">
      <c r="A3197" t="str">
        <f t="shared" si="49"/>
        <v/>
      </c>
    </row>
    <row r="3198" spans="1:1">
      <c r="A3198" t="str">
        <f t="shared" si="49"/>
        <v/>
      </c>
    </row>
    <row r="3199" spans="1:1">
      <c r="A3199" t="str">
        <f t="shared" si="49"/>
        <v/>
      </c>
    </row>
    <row r="3200" spans="1:1">
      <c r="A3200" t="str">
        <f t="shared" ref="A3200:A3263" si="50">CONCATENATE(I3200, B3200)</f>
        <v/>
      </c>
    </row>
    <row r="3201" spans="1:1">
      <c r="A3201" t="str">
        <f t="shared" si="50"/>
        <v/>
      </c>
    </row>
    <row r="3202" spans="1:1">
      <c r="A3202" t="str">
        <f t="shared" si="50"/>
        <v/>
      </c>
    </row>
    <row r="3203" spans="1:1">
      <c r="A3203" t="str">
        <f t="shared" si="50"/>
        <v/>
      </c>
    </row>
    <row r="3204" spans="1:1">
      <c r="A3204" t="str">
        <f t="shared" si="50"/>
        <v/>
      </c>
    </row>
    <row r="3205" spans="1:1">
      <c r="A3205" t="str">
        <f t="shared" si="50"/>
        <v/>
      </c>
    </row>
    <row r="3206" spans="1:1">
      <c r="A3206" t="str">
        <f t="shared" si="50"/>
        <v/>
      </c>
    </row>
    <row r="3207" spans="1:1">
      <c r="A3207" t="str">
        <f t="shared" si="50"/>
        <v/>
      </c>
    </row>
    <row r="3208" spans="1:1">
      <c r="A3208" t="str">
        <f t="shared" si="50"/>
        <v/>
      </c>
    </row>
    <row r="3209" spans="1:1">
      <c r="A3209" t="str">
        <f t="shared" si="50"/>
        <v/>
      </c>
    </row>
    <row r="3210" spans="1:1">
      <c r="A3210" t="str">
        <f t="shared" si="50"/>
        <v/>
      </c>
    </row>
    <row r="3211" spans="1:1">
      <c r="A3211" t="str">
        <f t="shared" si="50"/>
        <v/>
      </c>
    </row>
    <row r="3212" spans="1:1">
      <c r="A3212" t="str">
        <f t="shared" si="50"/>
        <v/>
      </c>
    </row>
    <row r="3213" spans="1:1">
      <c r="A3213" t="str">
        <f t="shared" si="50"/>
        <v/>
      </c>
    </row>
    <row r="3214" spans="1:1">
      <c r="A3214" t="str">
        <f t="shared" si="50"/>
        <v/>
      </c>
    </row>
    <row r="3215" spans="1:1">
      <c r="A3215" t="str">
        <f t="shared" si="50"/>
        <v/>
      </c>
    </row>
    <row r="3216" spans="1:1">
      <c r="A3216" t="str">
        <f t="shared" si="50"/>
        <v/>
      </c>
    </row>
    <row r="3217" spans="1:1">
      <c r="A3217" t="str">
        <f t="shared" si="50"/>
        <v/>
      </c>
    </row>
    <row r="3218" spans="1:1">
      <c r="A3218" t="str">
        <f t="shared" si="50"/>
        <v/>
      </c>
    </row>
    <row r="3219" spans="1:1">
      <c r="A3219" t="str">
        <f t="shared" si="50"/>
        <v/>
      </c>
    </row>
    <row r="3220" spans="1:1">
      <c r="A3220" t="str">
        <f t="shared" si="50"/>
        <v/>
      </c>
    </row>
    <row r="3221" spans="1:1">
      <c r="A3221" t="str">
        <f t="shared" si="50"/>
        <v/>
      </c>
    </row>
    <row r="3222" spans="1:1">
      <c r="A3222" t="str">
        <f t="shared" si="50"/>
        <v/>
      </c>
    </row>
    <row r="3223" spans="1:1">
      <c r="A3223" t="str">
        <f t="shared" si="50"/>
        <v/>
      </c>
    </row>
    <row r="3224" spans="1:1">
      <c r="A3224" t="str">
        <f t="shared" si="50"/>
        <v/>
      </c>
    </row>
    <row r="3225" spans="1:1">
      <c r="A3225" t="str">
        <f t="shared" si="50"/>
        <v/>
      </c>
    </row>
    <row r="3226" spans="1:1">
      <c r="A3226" t="str">
        <f t="shared" si="50"/>
        <v/>
      </c>
    </row>
    <row r="3227" spans="1:1">
      <c r="A3227" t="str">
        <f t="shared" si="50"/>
        <v/>
      </c>
    </row>
    <row r="3228" spans="1:1">
      <c r="A3228" t="str">
        <f t="shared" si="50"/>
        <v/>
      </c>
    </row>
    <row r="3229" spans="1:1">
      <c r="A3229" t="str">
        <f t="shared" si="50"/>
        <v/>
      </c>
    </row>
    <row r="3230" spans="1:1">
      <c r="A3230" t="str">
        <f t="shared" si="50"/>
        <v/>
      </c>
    </row>
    <row r="3231" spans="1:1">
      <c r="A3231" t="str">
        <f t="shared" si="50"/>
        <v/>
      </c>
    </row>
    <row r="3232" spans="1:1">
      <c r="A3232" t="str">
        <f t="shared" si="50"/>
        <v/>
      </c>
    </row>
    <row r="3233" spans="1:1">
      <c r="A3233" t="str">
        <f t="shared" si="50"/>
        <v/>
      </c>
    </row>
    <row r="3234" spans="1:1">
      <c r="A3234" t="str">
        <f t="shared" si="50"/>
        <v/>
      </c>
    </row>
    <row r="3235" spans="1:1">
      <c r="A3235" t="str">
        <f t="shared" si="50"/>
        <v/>
      </c>
    </row>
    <row r="3236" spans="1:1">
      <c r="A3236" t="str">
        <f t="shared" si="50"/>
        <v/>
      </c>
    </row>
    <row r="3237" spans="1:1">
      <c r="A3237" t="str">
        <f t="shared" si="50"/>
        <v/>
      </c>
    </row>
    <row r="3238" spans="1:1">
      <c r="A3238" t="str">
        <f t="shared" si="50"/>
        <v/>
      </c>
    </row>
    <row r="3239" spans="1:1">
      <c r="A3239" t="str">
        <f t="shared" si="50"/>
        <v/>
      </c>
    </row>
    <row r="3240" spans="1:1">
      <c r="A3240" t="str">
        <f t="shared" si="50"/>
        <v/>
      </c>
    </row>
    <row r="3241" spans="1:1">
      <c r="A3241" t="str">
        <f t="shared" si="50"/>
        <v/>
      </c>
    </row>
    <row r="3242" spans="1:1">
      <c r="A3242" t="str">
        <f t="shared" si="50"/>
        <v/>
      </c>
    </row>
    <row r="3243" spans="1:1">
      <c r="A3243" t="str">
        <f t="shared" si="50"/>
        <v/>
      </c>
    </row>
    <row r="3244" spans="1:1">
      <c r="A3244" t="str">
        <f t="shared" si="50"/>
        <v/>
      </c>
    </row>
    <row r="3245" spans="1:1">
      <c r="A3245" t="str">
        <f t="shared" si="50"/>
        <v/>
      </c>
    </row>
    <row r="3246" spans="1:1">
      <c r="A3246" t="str">
        <f t="shared" si="50"/>
        <v/>
      </c>
    </row>
    <row r="3247" spans="1:1">
      <c r="A3247" t="str">
        <f t="shared" si="50"/>
        <v/>
      </c>
    </row>
    <row r="3248" spans="1:1">
      <c r="A3248" t="str">
        <f t="shared" si="50"/>
        <v/>
      </c>
    </row>
    <row r="3249" spans="1:1">
      <c r="A3249" t="str">
        <f t="shared" si="50"/>
        <v/>
      </c>
    </row>
    <row r="3250" spans="1:1">
      <c r="A3250" t="str">
        <f t="shared" si="50"/>
        <v/>
      </c>
    </row>
    <row r="3251" spans="1:1">
      <c r="A3251" t="str">
        <f t="shared" si="50"/>
        <v/>
      </c>
    </row>
    <row r="3252" spans="1:1">
      <c r="A3252" t="str">
        <f t="shared" si="50"/>
        <v/>
      </c>
    </row>
    <row r="3253" spans="1:1">
      <c r="A3253" t="str">
        <f t="shared" si="50"/>
        <v/>
      </c>
    </row>
    <row r="3254" spans="1:1">
      <c r="A3254" t="str">
        <f t="shared" si="50"/>
        <v/>
      </c>
    </row>
    <row r="3255" spans="1:1">
      <c r="A3255" t="str">
        <f t="shared" si="50"/>
        <v/>
      </c>
    </row>
    <row r="3256" spans="1:1">
      <c r="A3256" t="str">
        <f t="shared" si="50"/>
        <v/>
      </c>
    </row>
    <row r="3257" spans="1:1">
      <c r="A3257" t="str">
        <f t="shared" si="50"/>
        <v/>
      </c>
    </row>
    <row r="3258" spans="1:1">
      <c r="A3258" t="str">
        <f t="shared" si="50"/>
        <v/>
      </c>
    </row>
    <row r="3259" spans="1:1">
      <c r="A3259" t="str">
        <f t="shared" si="50"/>
        <v/>
      </c>
    </row>
    <row r="3260" spans="1:1">
      <c r="A3260" t="str">
        <f t="shared" si="50"/>
        <v/>
      </c>
    </row>
    <row r="3261" spans="1:1">
      <c r="A3261" t="str">
        <f t="shared" si="50"/>
        <v/>
      </c>
    </row>
    <row r="3262" spans="1:1">
      <c r="A3262" t="str">
        <f t="shared" si="50"/>
        <v/>
      </c>
    </row>
    <row r="3263" spans="1:1">
      <c r="A3263" t="str">
        <f t="shared" si="50"/>
        <v/>
      </c>
    </row>
    <row r="3264" spans="1:1">
      <c r="A3264" t="str">
        <f t="shared" ref="A3264:A3327" si="51">CONCATENATE(I3264, B3264)</f>
        <v/>
      </c>
    </row>
    <row r="3265" spans="1:1">
      <c r="A3265" t="str">
        <f t="shared" si="51"/>
        <v/>
      </c>
    </row>
    <row r="3266" spans="1:1">
      <c r="A3266" t="str">
        <f t="shared" si="51"/>
        <v/>
      </c>
    </row>
    <row r="3267" spans="1:1">
      <c r="A3267" t="str">
        <f t="shared" si="51"/>
        <v/>
      </c>
    </row>
    <row r="3268" spans="1:1">
      <c r="A3268" t="str">
        <f t="shared" si="51"/>
        <v/>
      </c>
    </row>
    <row r="3269" spans="1:1">
      <c r="A3269" t="str">
        <f t="shared" si="51"/>
        <v/>
      </c>
    </row>
    <row r="3270" spans="1:1">
      <c r="A3270" t="str">
        <f t="shared" si="51"/>
        <v/>
      </c>
    </row>
    <row r="3271" spans="1:1">
      <c r="A3271" t="str">
        <f t="shared" si="51"/>
        <v/>
      </c>
    </row>
    <row r="3272" spans="1:1">
      <c r="A3272" t="str">
        <f t="shared" si="51"/>
        <v/>
      </c>
    </row>
    <row r="3273" spans="1:1">
      <c r="A3273" t="str">
        <f t="shared" si="51"/>
        <v/>
      </c>
    </row>
    <row r="3274" spans="1:1">
      <c r="A3274" t="str">
        <f t="shared" si="51"/>
        <v/>
      </c>
    </row>
    <row r="3275" spans="1:1">
      <c r="A3275" t="str">
        <f t="shared" si="51"/>
        <v/>
      </c>
    </row>
    <row r="3276" spans="1:1">
      <c r="A3276" t="str">
        <f t="shared" si="51"/>
        <v/>
      </c>
    </row>
    <row r="3277" spans="1:1">
      <c r="A3277" t="str">
        <f t="shared" si="51"/>
        <v/>
      </c>
    </row>
    <row r="3278" spans="1:1">
      <c r="A3278" t="str">
        <f t="shared" si="51"/>
        <v/>
      </c>
    </row>
    <row r="3279" spans="1:1">
      <c r="A3279" t="str">
        <f t="shared" si="51"/>
        <v/>
      </c>
    </row>
    <row r="3280" spans="1:1">
      <c r="A3280" t="str">
        <f t="shared" si="51"/>
        <v/>
      </c>
    </row>
    <row r="3281" spans="1:1">
      <c r="A3281" t="str">
        <f t="shared" si="51"/>
        <v/>
      </c>
    </row>
    <row r="3282" spans="1:1">
      <c r="A3282" t="str">
        <f t="shared" si="51"/>
        <v/>
      </c>
    </row>
    <row r="3283" spans="1:1">
      <c r="A3283" t="str">
        <f t="shared" si="51"/>
        <v/>
      </c>
    </row>
    <row r="3284" spans="1:1">
      <c r="A3284" t="str">
        <f t="shared" si="51"/>
        <v/>
      </c>
    </row>
    <row r="3285" spans="1:1">
      <c r="A3285" t="str">
        <f t="shared" si="51"/>
        <v/>
      </c>
    </row>
    <row r="3286" spans="1:1">
      <c r="A3286" t="str">
        <f t="shared" si="51"/>
        <v/>
      </c>
    </row>
    <row r="3287" spans="1:1">
      <c r="A3287" t="str">
        <f t="shared" si="51"/>
        <v/>
      </c>
    </row>
    <row r="3288" spans="1:1">
      <c r="A3288" t="str">
        <f t="shared" si="51"/>
        <v/>
      </c>
    </row>
    <row r="3289" spans="1:1">
      <c r="A3289" t="str">
        <f t="shared" si="51"/>
        <v/>
      </c>
    </row>
    <row r="3290" spans="1:1">
      <c r="A3290" t="str">
        <f t="shared" si="51"/>
        <v/>
      </c>
    </row>
    <row r="3291" spans="1:1">
      <c r="A3291" t="str">
        <f t="shared" si="51"/>
        <v/>
      </c>
    </row>
    <row r="3292" spans="1:1">
      <c r="A3292" t="str">
        <f t="shared" si="51"/>
        <v/>
      </c>
    </row>
    <row r="3293" spans="1:1">
      <c r="A3293" t="str">
        <f t="shared" si="51"/>
        <v/>
      </c>
    </row>
    <row r="3294" spans="1:1">
      <c r="A3294" t="str">
        <f t="shared" si="51"/>
        <v/>
      </c>
    </row>
    <row r="3295" spans="1:1">
      <c r="A3295" t="str">
        <f t="shared" si="51"/>
        <v/>
      </c>
    </row>
    <row r="3296" spans="1:1">
      <c r="A3296" t="str">
        <f t="shared" si="51"/>
        <v/>
      </c>
    </row>
    <row r="3297" spans="1:1">
      <c r="A3297" t="str">
        <f t="shared" si="51"/>
        <v/>
      </c>
    </row>
    <row r="3298" spans="1:1">
      <c r="A3298" t="str">
        <f t="shared" si="51"/>
        <v/>
      </c>
    </row>
    <row r="3299" spans="1:1">
      <c r="A3299" t="str">
        <f t="shared" si="51"/>
        <v/>
      </c>
    </row>
    <row r="3300" spans="1:1">
      <c r="A3300" t="str">
        <f t="shared" si="51"/>
        <v/>
      </c>
    </row>
    <row r="3301" spans="1:1">
      <c r="A3301" t="str">
        <f t="shared" si="51"/>
        <v/>
      </c>
    </row>
    <row r="3302" spans="1:1">
      <c r="A3302" t="str">
        <f t="shared" si="51"/>
        <v/>
      </c>
    </row>
    <row r="3303" spans="1:1">
      <c r="A3303" t="str">
        <f t="shared" si="51"/>
        <v/>
      </c>
    </row>
    <row r="3304" spans="1:1">
      <c r="A3304" t="str">
        <f t="shared" si="51"/>
        <v/>
      </c>
    </row>
    <row r="3305" spans="1:1">
      <c r="A3305" t="str">
        <f t="shared" si="51"/>
        <v/>
      </c>
    </row>
    <row r="3306" spans="1:1">
      <c r="A3306" t="str">
        <f t="shared" si="51"/>
        <v/>
      </c>
    </row>
    <row r="3307" spans="1:1">
      <c r="A3307" t="str">
        <f t="shared" si="51"/>
        <v/>
      </c>
    </row>
    <row r="3308" spans="1:1">
      <c r="A3308" t="str">
        <f t="shared" si="51"/>
        <v/>
      </c>
    </row>
    <row r="3309" spans="1:1">
      <c r="A3309" t="str">
        <f t="shared" si="51"/>
        <v/>
      </c>
    </row>
    <row r="3310" spans="1:1">
      <c r="A3310" t="str">
        <f t="shared" si="51"/>
        <v/>
      </c>
    </row>
    <row r="3311" spans="1:1">
      <c r="A3311" t="str">
        <f t="shared" si="51"/>
        <v/>
      </c>
    </row>
    <row r="3312" spans="1:1">
      <c r="A3312" t="str">
        <f t="shared" si="51"/>
        <v/>
      </c>
    </row>
    <row r="3313" spans="1:1">
      <c r="A3313" t="str">
        <f t="shared" si="51"/>
        <v/>
      </c>
    </row>
    <row r="3314" spans="1:1">
      <c r="A3314" t="str">
        <f t="shared" si="51"/>
        <v/>
      </c>
    </row>
    <row r="3315" spans="1:1">
      <c r="A3315" t="str">
        <f t="shared" si="51"/>
        <v/>
      </c>
    </row>
    <row r="3316" spans="1:1">
      <c r="A3316" t="str">
        <f t="shared" si="51"/>
        <v/>
      </c>
    </row>
    <row r="3317" spans="1:1">
      <c r="A3317" t="str">
        <f t="shared" si="51"/>
        <v/>
      </c>
    </row>
    <row r="3318" spans="1:1">
      <c r="A3318" t="str">
        <f t="shared" si="51"/>
        <v/>
      </c>
    </row>
    <row r="3319" spans="1:1">
      <c r="A3319" t="str">
        <f t="shared" si="51"/>
        <v/>
      </c>
    </row>
    <row r="3320" spans="1:1">
      <c r="A3320" t="str">
        <f t="shared" si="51"/>
        <v/>
      </c>
    </row>
    <row r="3321" spans="1:1">
      <c r="A3321" t="str">
        <f t="shared" si="51"/>
        <v/>
      </c>
    </row>
    <row r="3322" spans="1:1">
      <c r="A3322" t="str">
        <f t="shared" si="51"/>
        <v/>
      </c>
    </row>
    <row r="3323" spans="1:1">
      <c r="A3323" t="str">
        <f t="shared" si="51"/>
        <v/>
      </c>
    </row>
    <row r="3324" spans="1:1">
      <c r="A3324" t="str">
        <f t="shared" si="51"/>
        <v/>
      </c>
    </row>
    <row r="3325" spans="1:1">
      <c r="A3325" t="str">
        <f t="shared" si="51"/>
        <v/>
      </c>
    </row>
    <row r="3326" spans="1:1">
      <c r="A3326" t="str">
        <f t="shared" si="51"/>
        <v/>
      </c>
    </row>
    <row r="3327" spans="1:1">
      <c r="A3327" t="str">
        <f t="shared" si="51"/>
        <v/>
      </c>
    </row>
    <row r="3328" spans="1:1">
      <c r="A3328" t="str">
        <f t="shared" ref="A3328:A3391" si="52">CONCATENATE(I3328, B3328)</f>
        <v/>
      </c>
    </row>
    <row r="3329" spans="1:1">
      <c r="A3329" t="str">
        <f t="shared" si="52"/>
        <v/>
      </c>
    </row>
    <row r="3330" spans="1:1">
      <c r="A3330" t="str">
        <f t="shared" si="52"/>
        <v/>
      </c>
    </row>
    <row r="3331" spans="1:1">
      <c r="A3331" t="str">
        <f t="shared" si="52"/>
        <v/>
      </c>
    </row>
    <row r="3332" spans="1:1">
      <c r="A3332" t="str">
        <f t="shared" si="52"/>
        <v/>
      </c>
    </row>
    <row r="3333" spans="1:1">
      <c r="A3333" t="str">
        <f t="shared" si="52"/>
        <v/>
      </c>
    </row>
    <row r="3334" spans="1:1">
      <c r="A3334" t="str">
        <f t="shared" si="52"/>
        <v/>
      </c>
    </row>
    <row r="3335" spans="1:1">
      <c r="A3335" t="str">
        <f t="shared" si="52"/>
        <v/>
      </c>
    </row>
    <row r="3336" spans="1:1">
      <c r="A3336" t="str">
        <f t="shared" si="52"/>
        <v/>
      </c>
    </row>
    <row r="3337" spans="1:1">
      <c r="A3337" t="str">
        <f t="shared" si="52"/>
        <v/>
      </c>
    </row>
    <row r="3338" spans="1:1">
      <c r="A3338" t="str">
        <f t="shared" si="52"/>
        <v/>
      </c>
    </row>
    <row r="3339" spans="1:1">
      <c r="A3339" t="str">
        <f t="shared" si="52"/>
        <v/>
      </c>
    </row>
    <row r="3340" spans="1:1">
      <c r="A3340" t="str">
        <f t="shared" si="52"/>
        <v/>
      </c>
    </row>
    <row r="3341" spans="1:1">
      <c r="A3341" t="str">
        <f t="shared" si="52"/>
        <v/>
      </c>
    </row>
    <row r="3342" spans="1:1">
      <c r="A3342" t="str">
        <f t="shared" si="52"/>
        <v/>
      </c>
    </row>
    <row r="3343" spans="1:1">
      <c r="A3343" t="str">
        <f t="shared" si="52"/>
        <v/>
      </c>
    </row>
    <row r="3344" spans="1:1">
      <c r="A3344" t="str">
        <f t="shared" si="52"/>
        <v/>
      </c>
    </row>
    <row r="3345" spans="1:1">
      <c r="A3345" t="str">
        <f t="shared" si="52"/>
        <v/>
      </c>
    </row>
    <row r="3346" spans="1:1">
      <c r="A3346" t="str">
        <f t="shared" si="52"/>
        <v/>
      </c>
    </row>
    <row r="3347" spans="1:1">
      <c r="A3347" t="str">
        <f t="shared" si="52"/>
        <v/>
      </c>
    </row>
    <row r="3348" spans="1:1">
      <c r="A3348" t="str">
        <f t="shared" si="52"/>
        <v/>
      </c>
    </row>
    <row r="3349" spans="1:1">
      <c r="A3349" t="str">
        <f t="shared" si="52"/>
        <v/>
      </c>
    </row>
    <row r="3350" spans="1:1">
      <c r="A3350" t="str">
        <f t="shared" si="52"/>
        <v/>
      </c>
    </row>
    <row r="3351" spans="1:1">
      <c r="A3351" t="str">
        <f t="shared" si="52"/>
        <v/>
      </c>
    </row>
    <row r="3352" spans="1:1">
      <c r="A3352" t="str">
        <f t="shared" si="52"/>
        <v/>
      </c>
    </row>
    <row r="3353" spans="1:1">
      <c r="A3353" t="str">
        <f t="shared" si="52"/>
        <v/>
      </c>
    </row>
    <row r="3354" spans="1:1">
      <c r="A3354" t="str">
        <f t="shared" si="52"/>
        <v/>
      </c>
    </row>
    <row r="3355" spans="1:1">
      <c r="A3355" t="str">
        <f t="shared" si="52"/>
        <v/>
      </c>
    </row>
    <row r="3356" spans="1:1">
      <c r="A3356" t="str">
        <f t="shared" si="52"/>
        <v/>
      </c>
    </row>
    <row r="3357" spans="1:1">
      <c r="A3357" t="str">
        <f t="shared" si="52"/>
        <v/>
      </c>
    </row>
    <row r="3358" spans="1:1">
      <c r="A3358" t="str">
        <f t="shared" si="52"/>
        <v/>
      </c>
    </row>
    <row r="3359" spans="1:1">
      <c r="A3359" t="str">
        <f t="shared" si="52"/>
        <v/>
      </c>
    </row>
    <row r="3360" spans="1:1">
      <c r="A3360" t="str">
        <f t="shared" si="52"/>
        <v/>
      </c>
    </row>
    <row r="3361" spans="1:1">
      <c r="A3361" t="str">
        <f t="shared" si="52"/>
        <v/>
      </c>
    </row>
    <row r="3362" spans="1:1">
      <c r="A3362" t="str">
        <f t="shared" si="52"/>
        <v/>
      </c>
    </row>
    <row r="3363" spans="1:1">
      <c r="A3363" t="str">
        <f t="shared" si="52"/>
        <v/>
      </c>
    </row>
    <row r="3364" spans="1:1">
      <c r="A3364" t="str">
        <f t="shared" si="52"/>
        <v/>
      </c>
    </row>
    <row r="3365" spans="1:1">
      <c r="A3365" t="str">
        <f t="shared" si="52"/>
        <v/>
      </c>
    </row>
    <row r="3366" spans="1:1">
      <c r="A3366" t="str">
        <f t="shared" si="52"/>
        <v/>
      </c>
    </row>
    <row r="3367" spans="1:1">
      <c r="A3367" t="str">
        <f t="shared" si="52"/>
        <v/>
      </c>
    </row>
    <row r="3368" spans="1:1">
      <c r="A3368" t="str">
        <f t="shared" si="52"/>
        <v/>
      </c>
    </row>
    <row r="3369" spans="1:1">
      <c r="A3369" t="str">
        <f t="shared" si="52"/>
        <v/>
      </c>
    </row>
    <row r="3370" spans="1:1">
      <c r="A3370" t="str">
        <f t="shared" si="52"/>
        <v/>
      </c>
    </row>
    <row r="3371" spans="1:1">
      <c r="A3371" t="str">
        <f t="shared" si="52"/>
        <v/>
      </c>
    </row>
    <row r="3372" spans="1:1">
      <c r="A3372" t="str">
        <f t="shared" si="52"/>
        <v/>
      </c>
    </row>
    <row r="3373" spans="1:1">
      <c r="A3373" t="str">
        <f t="shared" si="52"/>
        <v/>
      </c>
    </row>
    <row r="3374" spans="1:1">
      <c r="A3374" t="str">
        <f t="shared" si="52"/>
        <v/>
      </c>
    </row>
    <row r="3375" spans="1:1">
      <c r="A3375" t="str">
        <f t="shared" si="52"/>
        <v/>
      </c>
    </row>
    <row r="3376" spans="1:1">
      <c r="A3376" t="str">
        <f t="shared" si="52"/>
        <v/>
      </c>
    </row>
    <row r="3377" spans="1:1">
      <c r="A3377" t="str">
        <f t="shared" si="52"/>
        <v/>
      </c>
    </row>
    <row r="3378" spans="1:1">
      <c r="A3378" t="str">
        <f t="shared" si="52"/>
        <v/>
      </c>
    </row>
    <row r="3379" spans="1:1">
      <c r="A3379" t="str">
        <f t="shared" si="52"/>
        <v/>
      </c>
    </row>
    <row r="3380" spans="1:1">
      <c r="A3380" t="str">
        <f t="shared" si="52"/>
        <v/>
      </c>
    </row>
    <row r="3381" spans="1:1">
      <c r="A3381" t="str">
        <f t="shared" si="52"/>
        <v/>
      </c>
    </row>
    <row r="3382" spans="1:1">
      <c r="A3382" t="str">
        <f t="shared" si="52"/>
        <v/>
      </c>
    </row>
    <row r="3383" spans="1:1">
      <c r="A3383" t="str">
        <f t="shared" si="52"/>
        <v/>
      </c>
    </row>
    <row r="3384" spans="1:1">
      <c r="A3384" t="str">
        <f t="shared" si="52"/>
        <v/>
      </c>
    </row>
    <row r="3385" spans="1:1">
      <c r="A3385" t="str">
        <f t="shared" si="52"/>
        <v/>
      </c>
    </row>
    <row r="3386" spans="1:1">
      <c r="A3386" t="str">
        <f t="shared" si="52"/>
        <v/>
      </c>
    </row>
    <row r="3387" spans="1:1">
      <c r="A3387" t="str">
        <f t="shared" si="52"/>
        <v/>
      </c>
    </row>
    <row r="3388" spans="1:1">
      <c r="A3388" t="str">
        <f t="shared" si="52"/>
        <v/>
      </c>
    </row>
    <row r="3389" spans="1:1">
      <c r="A3389" t="str">
        <f t="shared" si="52"/>
        <v/>
      </c>
    </row>
    <row r="3390" spans="1:1">
      <c r="A3390" t="str">
        <f t="shared" si="52"/>
        <v/>
      </c>
    </row>
    <row r="3391" spans="1:1">
      <c r="A3391" t="str">
        <f t="shared" si="52"/>
        <v/>
      </c>
    </row>
    <row r="3392" spans="1:1">
      <c r="A3392" t="str">
        <f t="shared" ref="A3392:A3455" si="53">CONCATENATE(I3392, B3392)</f>
        <v/>
      </c>
    </row>
    <row r="3393" spans="1:1">
      <c r="A3393" t="str">
        <f t="shared" si="53"/>
        <v/>
      </c>
    </row>
    <row r="3394" spans="1:1">
      <c r="A3394" t="str">
        <f t="shared" si="53"/>
        <v/>
      </c>
    </row>
    <row r="3395" spans="1:1">
      <c r="A3395" t="str">
        <f t="shared" si="53"/>
        <v/>
      </c>
    </row>
    <row r="3396" spans="1:1">
      <c r="A3396" t="str">
        <f t="shared" si="53"/>
        <v/>
      </c>
    </row>
    <row r="3397" spans="1:1">
      <c r="A3397" t="str">
        <f t="shared" si="53"/>
        <v/>
      </c>
    </row>
    <row r="3398" spans="1:1">
      <c r="A3398" t="str">
        <f t="shared" si="53"/>
        <v/>
      </c>
    </row>
    <row r="3399" spans="1:1">
      <c r="A3399" t="str">
        <f t="shared" si="53"/>
        <v/>
      </c>
    </row>
    <row r="3400" spans="1:1">
      <c r="A3400" t="str">
        <f t="shared" si="53"/>
        <v/>
      </c>
    </row>
    <row r="3401" spans="1:1">
      <c r="A3401" t="str">
        <f t="shared" si="53"/>
        <v/>
      </c>
    </row>
    <row r="3402" spans="1:1">
      <c r="A3402" t="str">
        <f t="shared" si="53"/>
        <v/>
      </c>
    </row>
    <row r="3403" spans="1:1">
      <c r="A3403" t="str">
        <f t="shared" si="53"/>
        <v/>
      </c>
    </row>
    <row r="3404" spans="1:1">
      <c r="A3404" t="str">
        <f t="shared" si="53"/>
        <v/>
      </c>
    </row>
    <row r="3405" spans="1:1">
      <c r="A3405" t="str">
        <f t="shared" si="53"/>
        <v/>
      </c>
    </row>
    <row r="3406" spans="1:1">
      <c r="A3406" t="str">
        <f t="shared" si="53"/>
        <v/>
      </c>
    </row>
    <row r="3407" spans="1:1">
      <c r="A3407" t="str">
        <f t="shared" si="53"/>
        <v/>
      </c>
    </row>
    <row r="3408" spans="1:1">
      <c r="A3408" t="str">
        <f t="shared" si="53"/>
        <v/>
      </c>
    </row>
    <row r="3409" spans="1:1">
      <c r="A3409" t="str">
        <f t="shared" si="53"/>
        <v/>
      </c>
    </row>
    <row r="3410" spans="1:1">
      <c r="A3410" t="str">
        <f t="shared" si="53"/>
        <v/>
      </c>
    </row>
    <row r="3411" spans="1:1">
      <c r="A3411" t="str">
        <f t="shared" si="53"/>
        <v/>
      </c>
    </row>
    <row r="3412" spans="1:1">
      <c r="A3412" t="str">
        <f t="shared" si="53"/>
        <v/>
      </c>
    </row>
    <row r="3413" spans="1:1">
      <c r="A3413" t="str">
        <f t="shared" si="53"/>
        <v/>
      </c>
    </row>
    <row r="3414" spans="1:1">
      <c r="A3414" t="str">
        <f t="shared" si="53"/>
        <v/>
      </c>
    </row>
    <row r="3415" spans="1:1">
      <c r="A3415" t="str">
        <f t="shared" si="53"/>
        <v/>
      </c>
    </row>
    <row r="3416" spans="1:1">
      <c r="A3416" t="str">
        <f t="shared" si="53"/>
        <v/>
      </c>
    </row>
    <row r="3417" spans="1:1">
      <c r="A3417" t="str">
        <f t="shared" si="53"/>
        <v/>
      </c>
    </row>
    <row r="3418" spans="1:1">
      <c r="A3418" t="str">
        <f t="shared" si="53"/>
        <v/>
      </c>
    </row>
    <row r="3419" spans="1:1">
      <c r="A3419" t="str">
        <f t="shared" si="53"/>
        <v/>
      </c>
    </row>
    <row r="3420" spans="1:1">
      <c r="A3420" t="str">
        <f t="shared" si="53"/>
        <v/>
      </c>
    </row>
    <row r="3421" spans="1:1">
      <c r="A3421" t="str">
        <f t="shared" si="53"/>
        <v/>
      </c>
    </row>
    <row r="3422" spans="1:1">
      <c r="A3422" t="str">
        <f t="shared" si="53"/>
        <v/>
      </c>
    </row>
    <row r="3423" spans="1:1">
      <c r="A3423" t="str">
        <f t="shared" si="53"/>
        <v/>
      </c>
    </row>
    <row r="3424" spans="1:1">
      <c r="A3424" t="str">
        <f t="shared" si="53"/>
        <v/>
      </c>
    </row>
    <row r="3425" spans="1:1">
      <c r="A3425" t="str">
        <f t="shared" si="53"/>
        <v/>
      </c>
    </row>
    <row r="3426" spans="1:1">
      <c r="A3426" t="str">
        <f t="shared" si="53"/>
        <v/>
      </c>
    </row>
    <row r="3427" spans="1:1">
      <c r="A3427" t="str">
        <f t="shared" si="53"/>
        <v/>
      </c>
    </row>
    <row r="3428" spans="1:1">
      <c r="A3428" t="str">
        <f t="shared" si="53"/>
        <v/>
      </c>
    </row>
    <row r="3429" spans="1:1">
      <c r="A3429" t="str">
        <f t="shared" si="53"/>
        <v/>
      </c>
    </row>
    <row r="3430" spans="1:1">
      <c r="A3430" t="str">
        <f t="shared" si="53"/>
        <v/>
      </c>
    </row>
    <row r="3431" spans="1:1">
      <c r="A3431" t="str">
        <f t="shared" si="53"/>
        <v/>
      </c>
    </row>
    <row r="3432" spans="1:1">
      <c r="A3432" t="str">
        <f t="shared" si="53"/>
        <v/>
      </c>
    </row>
    <row r="3433" spans="1:1">
      <c r="A3433" t="str">
        <f t="shared" si="53"/>
        <v/>
      </c>
    </row>
    <row r="3434" spans="1:1">
      <c r="A3434" t="str">
        <f t="shared" si="53"/>
        <v/>
      </c>
    </row>
    <row r="3435" spans="1:1">
      <c r="A3435" t="str">
        <f t="shared" si="53"/>
        <v/>
      </c>
    </row>
    <row r="3436" spans="1:1">
      <c r="A3436" t="str">
        <f t="shared" si="53"/>
        <v/>
      </c>
    </row>
    <row r="3437" spans="1:1">
      <c r="A3437" t="str">
        <f t="shared" si="53"/>
        <v/>
      </c>
    </row>
    <row r="3438" spans="1:1">
      <c r="A3438" t="str">
        <f t="shared" si="53"/>
        <v/>
      </c>
    </row>
    <row r="3439" spans="1:1">
      <c r="A3439" t="str">
        <f t="shared" si="53"/>
        <v/>
      </c>
    </row>
    <row r="3440" spans="1:1">
      <c r="A3440" t="str">
        <f t="shared" si="53"/>
        <v/>
      </c>
    </row>
    <row r="3441" spans="1:1">
      <c r="A3441" t="str">
        <f t="shared" si="53"/>
        <v/>
      </c>
    </row>
    <row r="3442" spans="1:1">
      <c r="A3442" t="str">
        <f t="shared" si="53"/>
        <v/>
      </c>
    </row>
    <row r="3443" spans="1:1">
      <c r="A3443" t="str">
        <f t="shared" si="53"/>
        <v/>
      </c>
    </row>
    <row r="3444" spans="1:1">
      <c r="A3444" t="str">
        <f t="shared" si="53"/>
        <v/>
      </c>
    </row>
    <row r="3445" spans="1:1">
      <c r="A3445" t="str">
        <f t="shared" si="53"/>
        <v/>
      </c>
    </row>
    <row r="3446" spans="1:1">
      <c r="A3446" t="str">
        <f t="shared" si="53"/>
        <v/>
      </c>
    </row>
    <row r="3447" spans="1:1">
      <c r="A3447" t="str">
        <f t="shared" si="53"/>
        <v/>
      </c>
    </row>
    <row r="3448" spans="1:1">
      <c r="A3448" t="str">
        <f t="shared" si="53"/>
        <v/>
      </c>
    </row>
    <row r="3449" spans="1:1">
      <c r="A3449" t="str">
        <f t="shared" si="53"/>
        <v/>
      </c>
    </row>
    <row r="3450" spans="1:1">
      <c r="A3450" t="str">
        <f t="shared" si="53"/>
        <v/>
      </c>
    </row>
    <row r="3451" spans="1:1">
      <c r="A3451" t="str">
        <f t="shared" si="53"/>
        <v/>
      </c>
    </row>
    <row r="3452" spans="1:1">
      <c r="A3452" t="str">
        <f t="shared" si="53"/>
        <v/>
      </c>
    </row>
    <row r="3453" spans="1:1">
      <c r="A3453" t="str">
        <f t="shared" si="53"/>
        <v/>
      </c>
    </row>
    <row r="3454" spans="1:1">
      <c r="A3454" t="str">
        <f t="shared" si="53"/>
        <v/>
      </c>
    </row>
    <row r="3455" spans="1:1">
      <c r="A3455" t="str">
        <f t="shared" si="53"/>
        <v/>
      </c>
    </row>
    <row r="3456" spans="1:1">
      <c r="A3456" t="str">
        <f t="shared" ref="A3456:A3519" si="54">CONCATENATE(I3456, B3456)</f>
        <v/>
      </c>
    </row>
    <row r="3457" spans="1:1">
      <c r="A3457" t="str">
        <f t="shared" si="54"/>
        <v/>
      </c>
    </row>
    <row r="3458" spans="1:1">
      <c r="A3458" t="str">
        <f t="shared" si="54"/>
        <v/>
      </c>
    </row>
    <row r="3459" spans="1:1">
      <c r="A3459" t="str">
        <f t="shared" si="54"/>
        <v/>
      </c>
    </row>
    <row r="3460" spans="1:1">
      <c r="A3460" t="str">
        <f t="shared" si="54"/>
        <v/>
      </c>
    </row>
    <row r="3461" spans="1:1">
      <c r="A3461" t="str">
        <f t="shared" si="54"/>
        <v/>
      </c>
    </row>
    <row r="3462" spans="1:1">
      <c r="A3462" t="str">
        <f t="shared" si="54"/>
        <v/>
      </c>
    </row>
    <row r="3463" spans="1:1">
      <c r="A3463" t="str">
        <f t="shared" si="54"/>
        <v/>
      </c>
    </row>
    <row r="3464" spans="1:1">
      <c r="A3464" t="str">
        <f t="shared" si="54"/>
        <v/>
      </c>
    </row>
    <row r="3465" spans="1:1">
      <c r="A3465" t="str">
        <f t="shared" si="54"/>
        <v/>
      </c>
    </row>
    <row r="3466" spans="1:1">
      <c r="A3466" t="str">
        <f t="shared" si="54"/>
        <v/>
      </c>
    </row>
    <row r="3467" spans="1:1">
      <c r="A3467" t="str">
        <f t="shared" si="54"/>
        <v/>
      </c>
    </row>
    <row r="3468" spans="1:1">
      <c r="A3468" t="str">
        <f t="shared" si="54"/>
        <v/>
      </c>
    </row>
    <row r="3469" spans="1:1">
      <c r="A3469" t="str">
        <f t="shared" si="54"/>
        <v/>
      </c>
    </row>
    <row r="3470" spans="1:1">
      <c r="A3470" t="str">
        <f t="shared" si="54"/>
        <v/>
      </c>
    </row>
    <row r="3471" spans="1:1">
      <c r="A3471" t="str">
        <f t="shared" si="54"/>
        <v/>
      </c>
    </row>
    <row r="3472" spans="1:1">
      <c r="A3472" t="str">
        <f t="shared" si="54"/>
        <v/>
      </c>
    </row>
    <row r="3473" spans="1:1">
      <c r="A3473" t="str">
        <f t="shared" si="54"/>
        <v/>
      </c>
    </row>
    <row r="3474" spans="1:1">
      <c r="A3474" t="str">
        <f t="shared" si="54"/>
        <v/>
      </c>
    </row>
    <row r="3475" spans="1:1">
      <c r="A3475" t="str">
        <f t="shared" si="54"/>
        <v/>
      </c>
    </row>
    <row r="3476" spans="1:1">
      <c r="A3476" t="str">
        <f t="shared" si="54"/>
        <v/>
      </c>
    </row>
    <row r="3477" spans="1:1">
      <c r="A3477" t="str">
        <f t="shared" si="54"/>
        <v/>
      </c>
    </row>
    <row r="3478" spans="1:1">
      <c r="A3478" t="str">
        <f t="shared" si="54"/>
        <v/>
      </c>
    </row>
    <row r="3479" spans="1:1">
      <c r="A3479" t="str">
        <f t="shared" si="54"/>
        <v/>
      </c>
    </row>
    <row r="3480" spans="1:1">
      <c r="A3480" t="str">
        <f t="shared" si="54"/>
        <v/>
      </c>
    </row>
    <row r="3481" spans="1:1">
      <c r="A3481" t="str">
        <f t="shared" si="54"/>
        <v/>
      </c>
    </row>
    <row r="3482" spans="1:1">
      <c r="A3482" t="str">
        <f t="shared" si="54"/>
        <v/>
      </c>
    </row>
    <row r="3483" spans="1:1">
      <c r="A3483" t="str">
        <f t="shared" si="54"/>
        <v/>
      </c>
    </row>
    <row r="3484" spans="1:1">
      <c r="A3484" t="str">
        <f t="shared" si="54"/>
        <v/>
      </c>
    </row>
    <row r="3485" spans="1:1">
      <c r="A3485" t="str">
        <f t="shared" si="54"/>
        <v/>
      </c>
    </row>
    <row r="3486" spans="1:1">
      <c r="A3486" t="str">
        <f t="shared" si="54"/>
        <v/>
      </c>
    </row>
    <row r="3487" spans="1:1">
      <c r="A3487" t="str">
        <f t="shared" si="54"/>
        <v/>
      </c>
    </row>
    <row r="3488" spans="1:1">
      <c r="A3488" t="str">
        <f t="shared" si="54"/>
        <v/>
      </c>
    </row>
    <row r="3489" spans="1:1">
      <c r="A3489" t="str">
        <f t="shared" si="54"/>
        <v/>
      </c>
    </row>
    <row r="3490" spans="1:1">
      <c r="A3490" t="str">
        <f t="shared" si="54"/>
        <v/>
      </c>
    </row>
    <row r="3491" spans="1:1">
      <c r="A3491" t="str">
        <f t="shared" si="54"/>
        <v/>
      </c>
    </row>
    <row r="3492" spans="1:1">
      <c r="A3492" t="str">
        <f t="shared" si="54"/>
        <v/>
      </c>
    </row>
    <row r="3493" spans="1:1">
      <c r="A3493" t="str">
        <f t="shared" si="54"/>
        <v/>
      </c>
    </row>
    <row r="3494" spans="1:1">
      <c r="A3494" t="str">
        <f t="shared" si="54"/>
        <v/>
      </c>
    </row>
    <row r="3495" spans="1:1">
      <c r="A3495" t="str">
        <f t="shared" si="54"/>
        <v/>
      </c>
    </row>
    <row r="3496" spans="1:1">
      <c r="A3496" t="str">
        <f t="shared" si="54"/>
        <v/>
      </c>
    </row>
    <row r="3497" spans="1:1">
      <c r="A3497" t="str">
        <f t="shared" si="54"/>
        <v/>
      </c>
    </row>
    <row r="3498" spans="1:1">
      <c r="A3498" t="str">
        <f t="shared" si="54"/>
        <v/>
      </c>
    </row>
    <row r="3499" spans="1:1">
      <c r="A3499" t="str">
        <f t="shared" si="54"/>
        <v/>
      </c>
    </row>
    <row r="3500" spans="1:1">
      <c r="A3500" t="str">
        <f t="shared" si="54"/>
        <v/>
      </c>
    </row>
    <row r="3501" spans="1:1">
      <c r="A3501" t="str">
        <f t="shared" si="54"/>
        <v/>
      </c>
    </row>
    <row r="3502" spans="1:1">
      <c r="A3502" t="str">
        <f t="shared" si="54"/>
        <v/>
      </c>
    </row>
    <row r="3503" spans="1:1">
      <c r="A3503" t="str">
        <f t="shared" si="54"/>
        <v/>
      </c>
    </row>
    <row r="3504" spans="1:1">
      <c r="A3504" t="str">
        <f t="shared" si="54"/>
        <v/>
      </c>
    </row>
    <row r="3505" spans="1:1">
      <c r="A3505" t="str">
        <f t="shared" si="54"/>
        <v/>
      </c>
    </row>
    <row r="3506" spans="1:1">
      <c r="A3506" t="str">
        <f t="shared" si="54"/>
        <v/>
      </c>
    </row>
    <row r="3507" spans="1:1">
      <c r="A3507" t="str">
        <f t="shared" si="54"/>
        <v/>
      </c>
    </row>
    <row r="3508" spans="1:1">
      <c r="A3508" t="str">
        <f t="shared" si="54"/>
        <v/>
      </c>
    </row>
    <row r="3509" spans="1:1">
      <c r="A3509" t="str">
        <f t="shared" si="54"/>
        <v/>
      </c>
    </row>
    <row r="3510" spans="1:1">
      <c r="A3510" t="str">
        <f t="shared" si="54"/>
        <v/>
      </c>
    </row>
    <row r="3511" spans="1:1">
      <c r="A3511" t="str">
        <f t="shared" si="54"/>
        <v/>
      </c>
    </row>
    <row r="3512" spans="1:1">
      <c r="A3512" t="str">
        <f t="shared" si="54"/>
        <v/>
      </c>
    </row>
    <row r="3513" spans="1:1">
      <c r="A3513" t="str">
        <f t="shared" si="54"/>
        <v/>
      </c>
    </row>
    <row r="3514" spans="1:1">
      <c r="A3514" t="str">
        <f t="shared" si="54"/>
        <v/>
      </c>
    </row>
    <row r="3515" spans="1:1">
      <c r="A3515" t="str">
        <f t="shared" si="54"/>
        <v/>
      </c>
    </row>
    <row r="3516" spans="1:1">
      <c r="A3516" t="str">
        <f t="shared" si="54"/>
        <v/>
      </c>
    </row>
    <row r="3517" spans="1:1">
      <c r="A3517" t="str">
        <f t="shared" si="54"/>
        <v/>
      </c>
    </row>
    <row r="3518" spans="1:1">
      <c r="A3518" t="str">
        <f t="shared" si="54"/>
        <v/>
      </c>
    </row>
    <row r="3519" spans="1:1">
      <c r="A3519" t="str">
        <f t="shared" si="54"/>
        <v/>
      </c>
    </row>
    <row r="3520" spans="1:1">
      <c r="A3520" t="str">
        <f t="shared" ref="A3520:A3583" si="55">CONCATENATE(I3520, B3520)</f>
        <v/>
      </c>
    </row>
    <row r="3521" spans="1:1">
      <c r="A3521" t="str">
        <f t="shared" si="55"/>
        <v/>
      </c>
    </row>
    <row r="3522" spans="1:1">
      <c r="A3522" t="str">
        <f t="shared" si="55"/>
        <v/>
      </c>
    </row>
    <row r="3523" spans="1:1">
      <c r="A3523" t="str">
        <f t="shared" si="55"/>
        <v/>
      </c>
    </row>
    <row r="3524" spans="1:1">
      <c r="A3524" t="str">
        <f t="shared" si="55"/>
        <v/>
      </c>
    </row>
    <row r="3525" spans="1:1">
      <c r="A3525" t="str">
        <f t="shared" si="55"/>
        <v/>
      </c>
    </row>
    <row r="3526" spans="1:1">
      <c r="A3526" t="str">
        <f t="shared" si="55"/>
        <v/>
      </c>
    </row>
    <row r="3527" spans="1:1">
      <c r="A3527" t="str">
        <f t="shared" si="55"/>
        <v/>
      </c>
    </row>
    <row r="3528" spans="1:1">
      <c r="A3528" t="str">
        <f t="shared" si="55"/>
        <v/>
      </c>
    </row>
    <row r="3529" spans="1:1">
      <c r="A3529" t="str">
        <f t="shared" si="55"/>
        <v/>
      </c>
    </row>
    <row r="3530" spans="1:1">
      <c r="A3530" t="str">
        <f t="shared" si="55"/>
        <v/>
      </c>
    </row>
    <row r="3531" spans="1:1">
      <c r="A3531" t="str">
        <f t="shared" si="55"/>
        <v/>
      </c>
    </row>
    <row r="3532" spans="1:1">
      <c r="A3532" t="str">
        <f t="shared" si="55"/>
        <v/>
      </c>
    </row>
    <row r="3533" spans="1:1">
      <c r="A3533" t="str">
        <f t="shared" si="55"/>
        <v/>
      </c>
    </row>
    <row r="3534" spans="1:1">
      <c r="A3534" t="str">
        <f t="shared" si="55"/>
        <v/>
      </c>
    </row>
    <row r="3535" spans="1:1">
      <c r="A3535" t="str">
        <f t="shared" si="55"/>
        <v/>
      </c>
    </row>
    <row r="3536" spans="1:1">
      <c r="A3536" t="str">
        <f t="shared" si="55"/>
        <v/>
      </c>
    </row>
    <row r="3537" spans="1:1">
      <c r="A3537" t="str">
        <f t="shared" si="55"/>
        <v/>
      </c>
    </row>
    <row r="3538" spans="1:1">
      <c r="A3538" t="str">
        <f t="shared" si="55"/>
        <v/>
      </c>
    </row>
    <row r="3539" spans="1:1">
      <c r="A3539" t="str">
        <f t="shared" si="55"/>
        <v/>
      </c>
    </row>
    <row r="3540" spans="1:1">
      <c r="A3540" t="str">
        <f t="shared" si="55"/>
        <v/>
      </c>
    </row>
    <row r="3541" spans="1:1">
      <c r="A3541" t="str">
        <f t="shared" si="55"/>
        <v/>
      </c>
    </row>
    <row r="3542" spans="1:1">
      <c r="A3542" t="str">
        <f t="shared" si="55"/>
        <v/>
      </c>
    </row>
    <row r="3543" spans="1:1">
      <c r="A3543" t="str">
        <f t="shared" si="55"/>
        <v/>
      </c>
    </row>
    <row r="3544" spans="1:1">
      <c r="A3544" t="str">
        <f t="shared" si="55"/>
        <v/>
      </c>
    </row>
    <row r="3545" spans="1:1">
      <c r="A3545" t="str">
        <f t="shared" si="55"/>
        <v/>
      </c>
    </row>
    <row r="3546" spans="1:1">
      <c r="A3546" t="str">
        <f t="shared" si="55"/>
        <v/>
      </c>
    </row>
    <row r="3547" spans="1:1">
      <c r="A3547" t="str">
        <f t="shared" si="55"/>
        <v/>
      </c>
    </row>
    <row r="3548" spans="1:1">
      <c r="A3548" t="str">
        <f t="shared" si="55"/>
        <v/>
      </c>
    </row>
    <row r="3549" spans="1:1">
      <c r="A3549" t="str">
        <f t="shared" si="55"/>
        <v/>
      </c>
    </row>
    <row r="3550" spans="1:1">
      <c r="A3550" t="str">
        <f t="shared" si="55"/>
        <v/>
      </c>
    </row>
    <row r="3551" spans="1:1">
      <c r="A3551" t="str">
        <f t="shared" si="55"/>
        <v/>
      </c>
    </row>
    <row r="3552" spans="1:1">
      <c r="A3552" t="str">
        <f t="shared" si="55"/>
        <v/>
      </c>
    </row>
    <row r="3553" spans="1:1">
      <c r="A3553" t="str">
        <f t="shared" si="55"/>
        <v/>
      </c>
    </row>
    <row r="3554" spans="1:1">
      <c r="A3554" t="str">
        <f t="shared" si="55"/>
        <v/>
      </c>
    </row>
    <row r="3555" spans="1:1">
      <c r="A3555" t="str">
        <f t="shared" si="55"/>
        <v/>
      </c>
    </row>
    <row r="3556" spans="1:1">
      <c r="A3556" t="str">
        <f t="shared" si="55"/>
        <v/>
      </c>
    </row>
    <row r="3557" spans="1:1">
      <c r="A3557" t="str">
        <f t="shared" si="55"/>
        <v/>
      </c>
    </row>
    <row r="3558" spans="1:1">
      <c r="A3558" t="str">
        <f t="shared" si="55"/>
        <v/>
      </c>
    </row>
    <row r="3559" spans="1:1">
      <c r="A3559" t="str">
        <f t="shared" si="55"/>
        <v/>
      </c>
    </row>
    <row r="3560" spans="1:1">
      <c r="A3560" t="str">
        <f t="shared" si="55"/>
        <v/>
      </c>
    </row>
    <row r="3561" spans="1:1">
      <c r="A3561" t="str">
        <f t="shared" si="55"/>
        <v/>
      </c>
    </row>
    <row r="3562" spans="1:1">
      <c r="A3562" t="str">
        <f t="shared" si="55"/>
        <v/>
      </c>
    </row>
    <row r="3563" spans="1:1">
      <c r="A3563" t="str">
        <f t="shared" si="55"/>
        <v/>
      </c>
    </row>
    <row r="3564" spans="1:1">
      <c r="A3564" t="str">
        <f t="shared" si="55"/>
        <v/>
      </c>
    </row>
    <row r="3565" spans="1:1">
      <c r="A3565" t="str">
        <f t="shared" si="55"/>
        <v/>
      </c>
    </row>
    <row r="3566" spans="1:1">
      <c r="A3566" t="str">
        <f t="shared" si="55"/>
        <v/>
      </c>
    </row>
    <row r="3567" spans="1:1">
      <c r="A3567" t="str">
        <f t="shared" si="55"/>
        <v/>
      </c>
    </row>
    <row r="3568" spans="1:1">
      <c r="A3568" t="str">
        <f t="shared" si="55"/>
        <v/>
      </c>
    </row>
    <row r="3569" spans="1:1">
      <c r="A3569" t="str">
        <f t="shared" si="55"/>
        <v/>
      </c>
    </row>
    <row r="3570" spans="1:1">
      <c r="A3570" t="str">
        <f t="shared" si="55"/>
        <v/>
      </c>
    </row>
    <row r="3571" spans="1:1">
      <c r="A3571" t="str">
        <f t="shared" si="55"/>
        <v/>
      </c>
    </row>
    <row r="3572" spans="1:1">
      <c r="A3572" t="str">
        <f t="shared" si="55"/>
        <v/>
      </c>
    </row>
    <row r="3573" spans="1:1">
      <c r="A3573" t="str">
        <f t="shared" si="55"/>
        <v/>
      </c>
    </row>
    <row r="3574" spans="1:1">
      <c r="A3574" t="str">
        <f t="shared" si="55"/>
        <v/>
      </c>
    </row>
    <row r="3575" spans="1:1">
      <c r="A3575" t="str">
        <f t="shared" si="55"/>
        <v/>
      </c>
    </row>
    <row r="3576" spans="1:1">
      <c r="A3576" t="str">
        <f t="shared" si="55"/>
        <v/>
      </c>
    </row>
    <row r="3577" spans="1:1">
      <c r="A3577" t="str">
        <f t="shared" si="55"/>
        <v/>
      </c>
    </row>
    <row r="3578" spans="1:1">
      <c r="A3578" t="str">
        <f t="shared" si="55"/>
        <v/>
      </c>
    </row>
    <row r="3579" spans="1:1">
      <c r="A3579" t="str">
        <f t="shared" si="55"/>
        <v/>
      </c>
    </row>
    <row r="3580" spans="1:1">
      <c r="A3580" t="str">
        <f t="shared" si="55"/>
        <v/>
      </c>
    </row>
    <row r="3581" spans="1:1">
      <c r="A3581" t="str">
        <f t="shared" si="55"/>
        <v/>
      </c>
    </row>
    <row r="3582" spans="1:1">
      <c r="A3582" t="str">
        <f t="shared" si="55"/>
        <v/>
      </c>
    </row>
    <row r="3583" spans="1:1">
      <c r="A3583" t="str">
        <f t="shared" si="55"/>
        <v/>
      </c>
    </row>
    <row r="3584" spans="1:1">
      <c r="A3584" t="str">
        <f t="shared" ref="A3584:A3647" si="56">CONCATENATE(I3584, B3584)</f>
        <v/>
      </c>
    </row>
    <row r="3585" spans="1:1">
      <c r="A3585" t="str">
        <f t="shared" si="56"/>
        <v/>
      </c>
    </row>
    <row r="3586" spans="1:1">
      <c r="A3586" t="str">
        <f t="shared" si="56"/>
        <v/>
      </c>
    </row>
    <row r="3587" spans="1:1">
      <c r="A3587" t="str">
        <f t="shared" si="56"/>
        <v/>
      </c>
    </row>
    <row r="3588" spans="1:1">
      <c r="A3588" t="str">
        <f t="shared" si="56"/>
        <v/>
      </c>
    </row>
    <row r="3589" spans="1:1">
      <c r="A3589" t="str">
        <f t="shared" si="56"/>
        <v/>
      </c>
    </row>
    <row r="3590" spans="1:1">
      <c r="A3590" t="str">
        <f t="shared" si="56"/>
        <v/>
      </c>
    </row>
    <row r="3591" spans="1:1">
      <c r="A3591" t="str">
        <f t="shared" si="56"/>
        <v/>
      </c>
    </row>
    <row r="3592" spans="1:1">
      <c r="A3592" t="str">
        <f t="shared" si="56"/>
        <v/>
      </c>
    </row>
    <row r="3593" spans="1:1">
      <c r="A3593" t="str">
        <f t="shared" si="56"/>
        <v/>
      </c>
    </row>
    <row r="3594" spans="1:1">
      <c r="A3594" t="str">
        <f t="shared" si="56"/>
        <v/>
      </c>
    </row>
    <row r="3595" spans="1:1">
      <c r="A3595" t="str">
        <f t="shared" si="56"/>
        <v/>
      </c>
    </row>
    <row r="3596" spans="1:1">
      <c r="A3596" t="str">
        <f t="shared" si="56"/>
        <v/>
      </c>
    </row>
    <row r="3597" spans="1:1">
      <c r="A3597" t="str">
        <f t="shared" si="56"/>
        <v/>
      </c>
    </row>
    <row r="3598" spans="1:1">
      <c r="A3598" t="str">
        <f t="shared" si="56"/>
        <v/>
      </c>
    </row>
    <row r="3599" spans="1:1">
      <c r="A3599" t="str">
        <f t="shared" si="56"/>
        <v/>
      </c>
    </row>
    <row r="3600" spans="1:1">
      <c r="A3600" t="str">
        <f t="shared" si="56"/>
        <v/>
      </c>
    </row>
    <row r="3601" spans="1:1">
      <c r="A3601" t="str">
        <f t="shared" si="56"/>
        <v/>
      </c>
    </row>
    <row r="3602" spans="1:1">
      <c r="A3602" t="str">
        <f t="shared" si="56"/>
        <v/>
      </c>
    </row>
    <row r="3603" spans="1:1">
      <c r="A3603" t="str">
        <f t="shared" si="56"/>
        <v/>
      </c>
    </row>
    <row r="3604" spans="1:1">
      <c r="A3604" t="str">
        <f t="shared" si="56"/>
        <v/>
      </c>
    </row>
    <row r="3605" spans="1:1">
      <c r="A3605" t="str">
        <f t="shared" si="56"/>
        <v/>
      </c>
    </row>
    <row r="3606" spans="1:1">
      <c r="A3606" t="str">
        <f t="shared" si="56"/>
        <v/>
      </c>
    </row>
    <row r="3607" spans="1:1">
      <c r="A3607" t="str">
        <f t="shared" si="56"/>
        <v/>
      </c>
    </row>
    <row r="3608" spans="1:1">
      <c r="A3608" t="str">
        <f t="shared" si="56"/>
        <v/>
      </c>
    </row>
    <row r="3609" spans="1:1">
      <c r="A3609" t="str">
        <f t="shared" si="56"/>
        <v/>
      </c>
    </row>
    <row r="3610" spans="1:1">
      <c r="A3610" t="str">
        <f t="shared" si="56"/>
        <v/>
      </c>
    </row>
    <row r="3611" spans="1:1">
      <c r="A3611" t="str">
        <f t="shared" si="56"/>
        <v/>
      </c>
    </row>
    <row r="3612" spans="1:1">
      <c r="A3612" t="str">
        <f t="shared" si="56"/>
        <v/>
      </c>
    </row>
    <row r="3613" spans="1:1">
      <c r="A3613" t="str">
        <f t="shared" si="56"/>
        <v/>
      </c>
    </row>
    <row r="3614" spans="1:1">
      <c r="A3614" t="str">
        <f t="shared" si="56"/>
        <v/>
      </c>
    </row>
    <row r="3615" spans="1:1">
      <c r="A3615" t="str">
        <f t="shared" si="56"/>
        <v/>
      </c>
    </row>
    <row r="3616" spans="1:1">
      <c r="A3616" t="str">
        <f t="shared" si="56"/>
        <v/>
      </c>
    </row>
    <row r="3617" spans="1:1">
      <c r="A3617" t="str">
        <f t="shared" si="56"/>
        <v/>
      </c>
    </row>
    <row r="3618" spans="1:1">
      <c r="A3618" t="str">
        <f t="shared" si="56"/>
        <v/>
      </c>
    </row>
    <row r="3619" spans="1:1">
      <c r="A3619" t="str">
        <f t="shared" si="56"/>
        <v/>
      </c>
    </row>
    <row r="3620" spans="1:1">
      <c r="A3620" t="str">
        <f t="shared" si="56"/>
        <v/>
      </c>
    </row>
    <row r="3621" spans="1:1">
      <c r="A3621" t="str">
        <f t="shared" si="56"/>
        <v/>
      </c>
    </row>
    <row r="3622" spans="1:1">
      <c r="A3622" t="str">
        <f t="shared" si="56"/>
        <v/>
      </c>
    </row>
    <row r="3623" spans="1:1">
      <c r="A3623" t="str">
        <f t="shared" si="56"/>
        <v/>
      </c>
    </row>
    <row r="3624" spans="1:1">
      <c r="A3624" t="str">
        <f t="shared" si="56"/>
        <v/>
      </c>
    </row>
    <row r="3625" spans="1:1">
      <c r="A3625" t="str">
        <f t="shared" si="56"/>
        <v/>
      </c>
    </row>
    <row r="3626" spans="1:1">
      <c r="A3626" t="str">
        <f t="shared" si="56"/>
        <v/>
      </c>
    </row>
    <row r="3627" spans="1:1">
      <c r="A3627" t="str">
        <f t="shared" si="56"/>
        <v/>
      </c>
    </row>
    <row r="3628" spans="1:1">
      <c r="A3628" t="str">
        <f t="shared" si="56"/>
        <v/>
      </c>
    </row>
    <row r="3629" spans="1:1">
      <c r="A3629" t="str">
        <f t="shared" si="56"/>
        <v/>
      </c>
    </row>
    <row r="3630" spans="1:1">
      <c r="A3630" t="str">
        <f t="shared" si="56"/>
        <v/>
      </c>
    </row>
    <row r="3631" spans="1:1">
      <c r="A3631" t="str">
        <f t="shared" si="56"/>
        <v/>
      </c>
    </row>
    <row r="3632" spans="1:1">
      <c r="A3632" t="str">
        <f t="shared" si="56"/>
        <v/>
      </c>
    </row>
    <row r="3633" spans="1:1">
      <c r="A3633" t="str">
        <f t="shared" si="56"/>
        <v/>
      </c>
    </row>
    <row r="3634" spans="1:1">
      <c r="A3634" t="str">
        <f t="shared" si="56"/>
        <v/>
      </c>
    </row>
    <row r="3635" spans="1:1">
      <c r="A3635" t="str">
        <f t="shared" si="56"/>
        <v/>
      </c>
    </row>
    <row r="3636" spans="1:1">
      <c r="A3636" t="str">
        <f t="shared" si="56"/>
        <v/>
      </c>
    </row>
    <row r="3637" spans="1:1">
      <c r="A3637" t="str">
        <f t="shared" si="56"/>
        <v/>
      </c>
    </row>
    <row r="3638" spans="1:1">
      <c r="A3638" t="str">
        <f t="shared" si="56"/>
        <v/>
      </c>
    </row>
    <row r="3639" spans="1:1">
      <c r="A3639" t="str">
        <f t="shared" si="56"/>
        <v/>
      </c>
    </row>
    <row r="3640" spans="1:1">
      <c r="A3640" t="str">
        <f t="shared" si="56"/>
        <v/>
      </c>
    </row>
    <row r="3641" spans="1:1">
      <c r="A3641" t="str">
        <f t="shared" si="56"/>
        <v/>
      </c>
    </row>
    <row r="3642" spans="1:1">
      <c r="A3642" t="str">
        <f t="shared" si="56"/>
        <v/>
      </c>
    </row>
    <row r="3643" spans="1:1">
      <c r="A3643" t="str">
        <f t="shared" si="56"/>
        <v/>
      </c>
    </row>
    <row r="3644" spans="1:1">
      <c r="A3644" t="str">
        <f t="shared" si="56"/>
        <v/>
      </c>
    </row>
    <row r="3645" spans="1:1">
      <c r="A3645" t="str">
        <f t="shared" si="56"/>
        <v/>
      </c>
    </row>
    <row r="3646" spans="1:1">
      <c r="A3646" t="str">
        <f t="shared" si="56"/>
        <v/>
      </c>
    </row>
    <row r="3647" spans="1:1">
      <c r="A3647" t="str">
        <f t="shared" si="56"/>
        <v/>
      </c>
    </row>
    <row r="3648" spans="1:1">
      <c r="A3648" t="str">
        <f t="shared" ref="A3648:A3711" si="57">CONCATENATE(I3648, B3648)</f>
        <v/>
      </c>
    </row>
    <row r="3649" spans="1:1">
      <c r="A3649" t="str">
        <f t="shared" si="57"/>
        <v/>
      </c>
    </row>
    <row r="3650" spans="1:1">
      <c r="A3650" t="str">
        <f t="shared" si="57"/>
        <v/>
      </c>
    </row>
    <row r="3651" spans="1:1">
      <c r="A3651" t="str">
        <f t="shared" si="57"/>
        <v/>
      </c>
    </row>
    <row r="3652" spans="1:1">
      <c r="A3652" t="str">
        <f t="shared" si="57"/>
        <v/>
      </c>
    </row>
    <row r="3653" spans="1:1">
      <c r="A3653" t="str">
        <f t="shared" si="57"/>
        <v/>
      </c>
    </row>
    <row r="3654" spans="1:1">
      <c r="A3654" t="str">
        <f t="shared" si="57"/>
        <v/>
      </c>
    </row>
    <row r="3655" spans="1:1">
      <c r="A3655" t="str">
        <f t="shared" si="57"/>
        <v/>
      </c>
    </row>
    <row r="3656" spans="1:1">
      <c r="A3656" t="str">
        <f t="shared" si="57"/>
        <v/>
      </c>
    </row>
    <row r="3657" spans="1:1">
      <c r="A3657" t="str">
        <f t="shared" si="57"/>
        <v/>
      </c>
    </row>
    <row r="3658" spans="1:1">
      <c r="A3658" t="str">
        <f t="shared" si="57"/>
        <v/>
      </c>
    </row>
    <row r="3659" spans="1:1">
      <c r="A3659" t="str">
        <f t="shared" si="57"/>
        <v/>
      </c>
    </row>
    <row r="3660" spans="1:1">
      <c r="A3660" t="str">
        <f t="shared" si="57"/>
        <v/>
      </c>
    </row>
    <row r="3661" spans="1:1">
      <c r="A3661" t="str">
        <f t="shared" si="57"/>
        <v/>
      </c>
    </row>
    <row r="3662" spans="1:1">
      <c r="A3662" t="str">
        <f t="shared" si="57"/>
        <v/>
      </c>
    </row>
    <row r="3663" spans="1:1">
      <c r="A3663" t="str">
        <f t="shared" si="57"/>
        <v/>
      </c>
    </row>
    <row r="3664" spans="1:1">
      <c r="A3664" t="str">
        <f t="shared" si="57"/>
        <v/>
      </c>
    </row>
    <row r="3665" spans="1:1">
      <c r="A3665" t="str">
        <f t="shared" si="57"/>
        <v/>
      </c>
    </row>
    <row r="3666" spans="1:1">
      <c r="A3666" t="str">
        <f t="shared" si="57"/>
        <v/>
      </c>
    </row>
    <row r="3667" spans="1:1">
      <c r="A3667" t="str">
        <f t="shared" si="57"/>
        <v/>
      </c>
    </row>
    <row r="3668" spans="1:1">
      <c r="A3668" t="str">
        <f t="shared" si="57"/>
        <v/>
      </c>
    </row>
    <row r="3669" spans="1:1">
      <c r="A3669" t="str">
        <f t="shared" si="57"/>
        <v/>
      </c>
    </row>
    <row r="3670" spans="1:1">
      <c r="A3670" t="str">
        <f t="shared" si="57"/>
        <v/>
      </c>
    </row>
    <row r="3671" spans="1:1">
      <c r="A3671" t="str">
        <f t="shared" si="57"/>
        <v/>
      </c>
    </row>
    <row r="3672" spans="1:1">
      <c r="A3672" t="str">
        <f t="shared" si="57"/>
        <v/>
      </c>
    </row>
    <row r="3673" spans="1:1">
      <c r="A3673" t="str">
        <f t="shared" si="57"/>
        <v/>
      </c>
    </row>
    <row r="3674" spans="1:1">
      <c r="A3674" t="str">
        <f t="shared" si="57"/>
        <v/>
      </c>
    </row>
    <row r="3675" spans="1:1">
      <c r="A3675" t="str">
        <f t="shared" si="57"/>
        <v/>
      </c>
    </row>
    <row r="3676" spans="1:1">
      <c r="A3676" t="str">
        <f t="shared" si="57"/>
        <v/>
      </c>
    </row>
    <row r="3677" spans="1:1">
      <c r="A3677" t="str">
        <f t="shared" si="57"/>
        <v/>
      </c>
    </row>
    <row r="3678" spans="1:1">
      <c r="A3678" t="str">
        <f t="shared" si="57"/>
        <v/>
      </c>
    </row>
    <row r="3679" spans="1:1">
      <c r="A3679" t="str">
        <f t="shared" si="57"/>
        <v/>
      </c>
    </row>
    <row r="3680" spans="1:1">
      <c r="A3680" t="str">
        <f t="shared" si="57"/>
        <v/>
      </c>
    </row>
    <row r="3681" spans="1:1">
      <c r="A3681" t="str">
        <f t="shared" si="57"/>
        <v/>
      </c>
    </row>
    <row r="3682" spans="1:1">
      <c r="A3682" t="str">
        <f t="shared" si="57"/>
        <v/>
      </c>
    </row>
    <row r="3683" spans="1:1">
      <c r="A3683" t="str">
        <f t="shared" si="57"/>
        <v/>
      </c>
    </row>
    <row r="3684" spans="1:1">
      <c r="A3684" t="str">
        <f t="shared" si="57"/>
        <v/>
      </c>
    </row>
    <row r="3685" spans="1:1">
      <c r="A3685" t="str">
        <f t="shared" si="57"/>
        <v/>
      </c>
    </row>
    <row r="3686" spans="1:1">
      <c r="A3686" t="str">
        <f t="shared" si="57"/>
        <v/>
      </c>
    </row>
    <row r="3687" spans="1:1">
      <c r="A3687" t="str">
        <f t="shared" si="57"/>
        <v/>
      </c>
    </row>
    <row r="3688" spans="1:1">
      <c r="A3688" t="str">
        <f t="shared" si="57"/>
        <v/>
      </c>
    </row>
    <row r="3689" spans="1:1">
      <c r="A3689" t="str">
        <f t="shared" si="57"/>
        <v/>
      </c>
    </row>
    <row r="3690" spans="1:1">
      <c r="A3690" t="str">
        <f t="shared" si="57"/>
        <v/>
      </c>
    </row>
    <row r="3691" spans="1:1">
      <c r="A3691" t="str">
        <f t="shared" si="57"/>
        <v/>
      </c>
    </row>
    <row r="3692" spans="1:1">
      <c r="A3692" t="str">
        <f t="shared" si="57"/>
        <v/>
      </c>
    </row>
    <row r="3693" spans="1:1">
      <c r="A3693" t="str">
        <f t="shared" si="57"/>
        <v/>
      </c>
    </row>
    <row r="3694" spans="1:1">
      <c r="A3694" t="str">
        <f t="shared" si="57"/>
        <v/>
      </c>
    </row>
    <row r="3695" spans="1:1">
      <c r="A3695" t="str">
        <f t="shared" si="57"/>
        <v/>
      </c>
    </row>
    <row r="3696" spans="1:1">
      <c r="A3696" t="str">
        <f t="shared" si="57"/>
        <v/>
      </c>
    </row>
    <row r="3697" spans="1:1">
      <c r="A3697" t="str">
        <f t="shared" si="57"/>
        <v/>
      </c>
    </row>
    <row r="3698" spans="1:1">
      <c r="A3698" t="str">
        <f t="shared" si="57"/>
        <v/>
      </c>
    </row>
    <row r="3699" spans="1:1">
      <c r="A3699" t="str">
        <f t="shared" si="57"/>
        <v/>
      </c>
    </row>
    <row r="3700" spans="1:1">
      <c r="A3700" t="str">
        <f t="shared" si="57"/>
        <v/>
      </c>
    </row>
    <row r="3701" spans="1:1">
      <c r="A3701" t="str">
        <f t="shared" si="57"/>
        <v/>
      </c>
    </row>
    <row r="3702" spans="1:1">
      <c r="A3702" t="str">
        <f t="shared" si="57"/>
        <v/>
      </c>
    </row>
    <row r="3703" spans="1:1">
      <c r="A3703" t="str">
        <f t="shared" si="57"/>
        <v/>
      </c>
    </row>
    <row r="3704" spans="1:1">
      <c r="A3704" t="str">
        <f t="shared" si="57"/>
        <v/>
      </c>
    </row>
    <row r="3705" spans="1:1">
      <c r="A3705" t="str">
        <f t="shared" si="57"/>
        <v/>
      </c>
    </row>
    <row r="3706" spans="1:1">
      <c r="A3706" t="str">
        <f t="shared" si="57"/>
        <v/>
      </c>
    </row>
    <row r="3707" spans="1:1">
      <c r="A3707" t="str">
        <f t="shared" si="57"/>
        <v/>
      </c>
    </row>
    <row r="3708" spans="1:1">
      <c r="A3708" t="str">
        <f t="shared" si="57"/>
        <v/>
      </c>
    </row>
    <row r="3709" spans="1:1">
      <c r="A3709" t="str">
        <f t="shared" si="57"/>
        <v/>
      </c>
    </row>
    <row r="3710" spans="1:1">
      <c r="A3710" t="str">
        <f t="shared" si="57"/>
        <v/>
      </c>
    </row>
    <row r="3711" spans="1:1">
      <c r="A3711" t="str">
        <f t="shared" si="57"/>
        <v/>
      </c>
    </row>
    <row r="3712" spans="1:1">
      <c r="A3712" t="str">
        <f t="shared" ref="A3712:A3775" si="58">CONCATENATE(I3712, B3712)</f>
        <v/>
      </c>
    </row>
    <row r="3713" spans="1:1">
      <c r="A3713" t="str">
        <f t="shared" si="58"/>
        <v/>
      </c>
    </row>
    <row r="3714" spans="1:1">
      <c r="A3714" t="str">
        <f t="shared" si="58"/>
        <v/>
      </c>
    </row>
    <row r="3715" spans="1:1">
      <c r="A3715" t="str">
        <f t="shared" si="58"/>
        <v/>
      </c>
    </row>
    <row r="3716" spans="1:1">
      <c r="A3716" t="str">
        <f t="shared" si="58"/>
        <v/>
      </c>
    </row>
    <row r="3717" spans="1:1">
      <c r="A3717" t="str">
        <f t="shared" si="58"/>
        <v/>
      </c>
    </row>
    <row r="3718" spans="1:1">
      <c r="A3718" t="str">
        <f t="shared" si="58"/>
        <v/>
      </c>
    </row>
    <row r="3719" spans="1:1">
      <c r="A3719" t="str">
        <f t="shared" si="58"/>
        <v/>
      </c>
    </row>
    <row r="3720" spans="1:1">
      <c r="A3720" t="str">
        <f t="shared" si="58"/>
        <v/>
      </c>
    </row>
    <row r="3721" spans="1:1">
      <c r="A3721" t="str">
        <f t="shared" si="58"/>
        <v/>
      </c>
    </row>
    <row r="3722" spans="1:1">
      <c r="A3722" t="str">
        <f t="shared" si="58"/>
        <v/>
      </c>
    </row>
    <row r="3723" spans="1:1">
      <c r="A3723" t="str">
        <f t="shared" si="58"/>
        <v/>
      </c>
    </row>
    <row r="3724" spans="1:1">
      <c r="A3724" t="str">
        <f t="shared" si="58"/>
        <v/>
      </c>
    </row>
    <row r="3725" spans="1:1">
      <c r="A3725" t="str">
        <f t="shared" si="58"/>
        <v/>
      </c>
    </row>
    <row r="3726" spans="1:1">
      <c r="A3726" t="str">
        <f t="shared" si="58"/>
        <v/>
      </c>
    </row>
    <row r="3727" spans="1:1">
      <c r="A3727" t="str">
        <f t="shared" si="58"/>
        <v/>
      </c>
    </row>
    <row r="3728" spans="1:1">
      <c r="A3728" t="str">
        <f t="shared" si="58"/>
        <v/>
      </c>
    </row>
    <row r="3729" spans="1:1">
      <c r="A3729" t="str">
        <f t="shared" si="58"/>
        <v/>
      </c>
    </row>
    <row r="3730" spans="1:1">
      <c r="A3730" t="str">
        <f t="shared" si="58"/>
        <v/>
      </c>
    </row>
    <row r="3731" spans="1:1">
      <c r="A3731" t="str">
        <f t="shared" si="58"/>
        <v/>
      </c>
    </row>
    <row r="3732" spans="1:1">
      <c r="A3732" t="str">
        <f t="shared" si="58"/>
        <v/>
      </c>
    </row>
    <row r="3733" spans="1:1">
      <c r="A3733" t="str">
        <f t="shared" si="58"/>
        <v/>
      </c>
    </row>
    <row r="3734" spans="1:1">
      <c r="A3734" t="str">
        <f t="shared" si="58"/>
        <v/>
      </c>
    </row>
    <row r="3735" spans="1:1">
      <c r="A3735" t="str">
        <f t="shared" si="58"/>
        <v/>
      </c>
    </row>
    <row r="3736" spans="1:1">
      <c r="A3736" t="str">
        <f t="shared" si="58"/>
        <v/>
      </c>
    </row>
    <row r="3737" spans="1:1">
      <c r="A3737" t="str">
        <f t="shared" si="58"/>
        <v/>
      </c>
    </row>
    <row r="3738" spans="1:1">
      <c r="A3738" t="str">
        <f t="shared" si="58"/>
        <v/>
      </c>
    </row>
    <row r="3739" spans="1:1">
      <c r="A3739" t="str">
        <f t="shared" si="58"/>
        <v/>
      </c>
    </row>
    <row r="3740" spans="1:1">
      <c r="A3740" t="str">
        <f t="shared" si="58"/>
        <v/>
      </c>
    </row>
    <row r="3741" spans="1:1">
      <c r="A3741" t="str">
        <f t="shared" si="58"/>
        <v/>
      </c>
    </row>
    <row r="3742" spans="1:1">
      <c r="A3742" t="str">
        <f t="shared" si="58"/>
        <v/>
      </c>
    </row>
    <row r="3743" spans="1:1">
      <c r="A3743" t="str">
        <f t="shared" si="58"/>
        <v/>
      </c>
    </row>
    <row r="3744" spans="1:1">
      <c r="A3744" t="str">
        <f t="shared" si="58"/>
        <v/>
      </c>
    </row>
    <row r="3745" spans="1:1">
      <c r="A3745" t="str">
        <f t="shared" si="58"/>
        <v/>
      </c>
    </row>
    <row r="3746" spans="1:1">
      <c r="A3746" t="str">
        <f t="shared" si="58"/>
        <v/>
      </c>
    </row>
    <row r="3747" spans="1:1">
      <c r="A3747" t="str">
        <f t="shared" si="58"/>
        <v/>
      </c>
    </row>
    <row r="3748" spans="1:1">
      <c r="A3748" t="str">
        <f t="shared" si="58"/>
        <v/>
      </c>
    </row>
    <row r="3749" spans="1:1">
      <c r="A3749" t="str">
        <f t="shared" si="58"/>
        <v/>
      </c>
    </row>
    <row r="3750" spans="1:1">
      <c r="A3750" t="str">
        <f t="shared" si="58"/>
        <v/>
      </c>
    </row>
    <row r="3751" spans="1:1">
      <c r="A3751" t="str">
        <f t="shared" si="58"/>
        <v/>
      </c>
    </row>
    <row r="3752" spans="1:1">
      <c r="A3752" t="str">
        <f t="shared" si="58"/>
        <v/>
      </c>
    </row>
    <row r="3753" spans="1:1">
      <c r="A3753" t="str">
        <f t="shared" si="58"/>
        <v/>
      </c>
    </row>
    <row r="3754" spans="1:1">
      <c r="A3754" t="str">
        <f t="shared" si="58"/>
        <v/>
      </c>
    </row>
    <row r="3755" spans="1:1">
      <c r="A3755" t="str">
        <f t="shared" si="58"/>
        <v/>
      </c>
    </row>
    <row r="3756" spans="1:1">
      <c r="A3756" t="str">
        <f t="shared" si="58"/>
        <v/>
      </c>
    </row>
    <row r="3757" spans="1:1">
      <c r="A3757" t="str">
        <f t="shared" si="58"/>
        <v/>
      </c>
    </row>
    <row r="3758" spans="1:1">
      <c r="A3758" t="str">
        <f t="shared" si="58"/>
        <v/>
      </c>
    </row>
    <row r="3759" spans="1:1">
      <c r="A3759" t="str">
        <f t="shared" si="58"/>
        <v/>
      </c>
    </row>
    <row r="3760" spans="1:1">
      <c r="A3760" t="str">
        <f t="shared" si="58"/>
        <v/>
      </c>
    </row>
    <row r="3761" spans="1:1">
      <c r="A3761" t="str">
        <f t="shared" si="58"/>
        <v/>
      </c>
    </row>
    <row r="3762" spans="1:1">
      <c r="A3762" t="str">
        <f t="shared" si="58"/>
        <v/>
      </c>
    </row>
    <row r="3763" spans="1:1">
      <c r="A3763" t="str">
        <f t="shared" si="58"/>
        <v/>
      </c>
    </row>
    <row r="3764" spans="1:1">
      <c r="A3764" t="str">
        <f t="shared" si="58"/>
        <v/>
      </c>
    </row>
    <row r="3765" spans="1:1">
      <c r="A3765" t="str">
        <f t="shared" si="58"/>
        <v/>
      </c>
    </row>
    <row r="3766" spans="1:1">
      <c r="A3766" t="str">
        <f t="shared" si="58"/>
        <v/>
      </c>
    </row>
    <row r="3767" spans="1:1">
      <c r="A3767" t="str">
        <f t="shared" si="58"/>
        <v/>
      </c>
    </row>
    <row r="3768" spans="1:1">
      <c r="A3768" t="str">
        <f t="shared" si="58"/>
        <v/>
      </c>
    </row>
    <row r="3769" spans="1:1">
      <c r="A3769" t="str">
        <f t="shared" si="58"/>
        <v/>
      </c>
    </row>
    <row r="3770" spans="1:1">
      <c r="A3770" t="str">
        <f t="shared" si="58"/>
        <v/>
      </c>
    </row>
    <row r="3771" spans="1:1">
      <c r="A3771" t="str">
        <f t="shared" si="58"/>
        <v/>
      </c>
    </row>
    <row r="3772" spans="1:1">
      <c r="A3772" t="str">
        <f t="shared" si="58"/>
        <v/>
      </c>
    </row>
    <row r="3773" spans="1:1">
      <c r="A3773" t="str">
        <f t="shared" si="58"/>
        <v/>
      </c>
    </row>
    <row r="3774" spans="1:1">
      <c r="A3774" t="str">
        <f t="shared" si="58"/>
        <v/>
      </c>
    </row>
    <row r="3775" spans="1:1">
      <c r="A3775" t="str">
        <f t="shared" si="58"/>
        <v/>
      </c>
    </row>
    <row r="3776" spans="1:1">
      <c r="A3776" t="str">
        <f t="shared" ref="A3776:A3839" si="59">CONCATENATE(I3776, B3776)</f>
        <v/>
      </c>
    </row>
    <row r="3777" spans="1:1">
      <c r="A3777" t="str">
        <f t="shared" si="59"/>
        <v/>
      </c>
    </row>
    <row r="3778" spans="1:1">
      <c r="A3778" t="str">
        <f t="shared" si="59"/>
        <v/>
      </c>
    </row>
    <row r="3779" spans="1:1">
      <c r="A3779" t="str">
        <f t="shared" si="59"/>
        <v/>
      </c>
    </row>
    <row r="3780" spans="1:1">
      <c r="A3780" t="str">
        <f t="shared" si="59"/>
        <v/>
      </c>
    </row>
    <row r="3781" spans="1:1">
      <c r="A3781" t="str">
        <f t="shared" si="59"/>
        <v/>
      </c>
    </row>
    <row r="3782" spans="1:1">
      <c r="A3782" t="str">
        <f t="shared" si="59"/>
        <v/>
      </c>
    </row>
    <row r="3783" spans="1:1">
      <c r="A3783" t="str">
        <f t="shared" si="59"/>
        <v/>
      </c>
    </row>
    <row r="3784" spans="1:1">
      <c r="A3784" t="str">
        <f t="shared" si="59"/>
        <v/>
      </c>
    </row>
    <row r="3785" spans="1:1">
      <c r="A3785" t="str">
        <f t="shared" si="59"/>
        <v/>
      </c>
    </row>
    <row r="3786" spans="1:1">
      <c r="A3786" t="str">
        <f t="shared" si="59"/>
        <v/>
      </c>
    </row>
    <row r="3787" spans="1:1">
      <c r="A3787" t="str">
        <f t="shared" si="59"/>
        <v/>
      </c>
    </row>
    <row r="3788" spans="1:1">
      <c r="A3788" t="str">
        <f t="shared" si="59"/>
        <v/>
      </c>
    </row>
    <row r="3789" spans="1:1">
      <c r="A3789" t="str">
        <f t="shared" si="59"/>
        <v/>
      </c>
    </row>
    <row r="3790" spans="1:1">
      <c r="A3790" t="str">
        <f t="shared" si="59"/>
        <v/>
      </c>
    </row>
    <row r="3791" spans="1:1">
      <c r="A3791" t="str">
        <f t="shared" si="59"/>
        <v/>
      </c>
    </row>
    <row r="3792" spans="1:1">
      <c r="A3792" t="str">
        <f t="shared" si="59"/>
        <v/>
      </c>
    </row>
    <row r="3793" spans="1:1">
      <c r="A3793" t="str">
        <f t="shared" si="59"/>
        <v/>
      </c>
    </row>
    <row r="3794" spans="1:1">
      <c r="A3794" t="str">
        <f t="shared" si="59"/>
        <v/>
      </c>
    </row>
    <row r="3795" spans="1:1">
      <c r="A3795" t="str">
        <f t="shared" si="59"/>
        <v/>
      </c>
    </row>
    <row r="3796" spans="1:1">
      <c r="A3796" t="str">
        <f t="shared" si="59"/>
        <v/>
      </c>
    </row>
    <row r="3797" spans="1:1">
      <c r="A3797" t="str">
        <f t="shared" si="59"/>
        <v/>
      </c>
    </row>
    <row r="3798" spans="1:1">
      <c r="A3798" t="str">
        <f t="shared" si="59"/>
        <v/>
      </c>
    </row>
    <row r="3799" spans="1:1">
      <c r="A3799" t="str">
        <f t="shared" si="59"/>
        <v/>
      </c>
    </row>
    <row r="3800" spans="1:1">
      <c r="A3800" t="str">
        <f t="shared" si="59"/>
        <v/>
      </c>
    </row>
    <row r="3801" spans="1:1">
      <c r="A3801" t="str">
        <f t="shared" si="59"/>
        <v/>
      </c>
    </row>
    <row r="3802" spans="1:1">
      <c r="A3802" t="str">
        <f t="shared" si="59"/>
        <v/>
      </c>
    </row>
    <row r="3803" spans="1:1">
      <c r="A3803" t="str">
        <f t="shared" si="59"/>
        <v/>
      </c>
    </row>
    <row r="3804" spans="1:1">
      <c r="A3804" t="str">
        <f t="shared" si="59"/>
        <v/>
      </c>
    </row>
    <row r="3805" spans="1:1">
      <c r="A3805" t="str">
        <f t="shared" si="59"/>
        <v/>
      </c>
    </row>
    <row r="3806" spans="1:1">
      <c r="A3806" t="str">
        <f t="shared" si="59"/>
        <v/>
      </c>
    </row>
    <row r="3807" spans="1:1">
      <c r="A3807" t="str">
        <f t="shared" si="59"/>
        <v/>
      </c>
    </row>
    <row r="3808" spans="1:1">
      <c r="A3808" t="str">
        <f t="shared" si="59"/>
        <v/>
      </c>
    </row>
    <row r="3809" spans="1:1">
      <c r="A3809" t="str">
        <f t="shared" si="59"/>
        <v/>
      </c>
    </row>
    <row r="3810" spans="1:1">
      <c r="A3810" t="str">
        <f t="shared" si="59"/>
        <v/>
      </c>
    </row>
    <row r="3811" spans="1:1">
      <c r="A3811" t="str">
        <f t="shared" si="59"/>
        <v/>
      </c>
    </row>
    <row r="3812" spans="1:1">
      <c r="A3812" t="str">
        <f t="shared" si="59"/>
        <v/>
      </c>
    </row>
    <row r="3813" spans="1:1">
      <c r="A3813" t="str">
        <f t="shared" si="59"/>
        <v/>
      </c>
    </row>
    <row r="3814" spans="1:1">
      <c r="A3814" t="str">
        <f t="shared" si="59"/>
        <v/>
      </c>
    </row>
    <row r="3815" spans="1:1">
      <c r="A3815" t="str">
        <f t="shared" si="59"/>
        <v/>
      </c>
    </row>
    <row r="3816" spans="1:1">
      <c r="A3816" t="str">
        <f t="shared" si="59"/>
        <v/>
      </c>
    </row>
    <row r="3817" spans="1:1">
      <c r="A3817" t="str">
        <f t="shared" si="59"/>
        <v/>
      </c>
    </row>
    <row r="3818" spans="1:1">
      <c r="A3818" t="str">
        <f t="shared" si="59"/>
        <v/>
      </c>
    </row>
    <row r="3819" spans="1:1">
      <c r="A3819" t="str">
        <f t="shared" si="59"/>
        <v/>
      </c>
    </row>
    <row r="3820" spans="1:1">
      <c r="A3820" t="str">
        <f t="shared" si="59"/>
        <v/>
      </c>
    </row>
    <row r="3821" spans="1:1">
      <c r="A3821" t="str">
        <f t="shared" si="59"/>
        <v/>
      </c>
    </row>
    <row r="3822" spans="1:1">
      <c r="A3822" t="str">
        <f t="shared" si="59"/>
        <v/>
      </c>
    </row>
    <row r="3823" spans="1:1">
      <c r="A3823" t="str">
        <f t="shared" si="59"/>
        <v/>
      </c>
    </row>
    <row r="3824" spans="1:1">
      <c r="A3824" t="str">
        <f t="shared" si="59"/>
        <v/>
      </c>
    </row>
    <row r="3825" spans="1:1">
      <c r="A3825" t="str">
        <f t="shared" si="59"/>
        <v/>
      </c>
    </row>
    <row r="3826" spans="1:1">
      <c r="A3826" t="str">
        <f t="shared" si="59"/>
        <v/>
      </c>
    </row>
    <row r="3827" spans="1:1">
      <c r="A3827" t="str">
        <f t="shared" si="59"/>
        <v/>
      </c>
    </row>
    <row r="3828" spans="1:1">
      <c r="A3828" t="str">
        <f t="shared" si="59"/>
        <v/>
      </c>
    </row>
    <row r="3829" spans="1:1">
      <c r="A3829" t="str">
        <f t="shared" si="59"/>
        <v/>
      </c>
    </row>
    <row r="3830" spans="1:1">
      <c r="A3830" t="str">
        <f t="shared" si="59"/>
        <v/>
      </c>
    </row>
    <row r="3831" spans="1:1">
      <c r="A3831" t="str">
        <f t="shared" si="59"/>
        <v/>
      </c>
    </row>
    <row r="3832" spans="1:1">
      <c r="A3832" t="str">
        <f t="shared" si="59"/>
        <v/>
      </c>
    </row>
    <row r="3833" spans="1:1">
      <c r="A3833" t="str">
        <f t="shared" si="59"/>
        <v/>
      </c>
    </row>
    <row r="3834" spans="1:1">
      <c r="A3834" t="str">
        <f t="shared" si="59"/>
        <v/>
      </c>
    </row>
    <row r="3835" spans="1:1">
      <c r="A3835" t="str">
        <f t="shared" si="59"/>
        <v/>
      </c>
    </row>
    <row r="3836" spans="1:1">
      <c r="A3836" t="str">
        <f t="shared" si="59"/>
        <v/>
      </c>
    </row>
    <row r="3837" spans="1:1">
      <c r="A3837" t="str">
        <f t="shared" si="59"/>
        <v/>
      </c>
    </row>
    <row r="3838" spans="1:1">
      <c r="A3838" t="str">
        <f t="shared" si="59"/>
        <v/>
      </c>
    </row>
    <row r="3839" spans="1:1">
      <c r="A3839" t="str">
        <f t="shared" si="59"/>
        <v/>
      </c>
    </row>
    <row r="3840" spans="1:1">
      <c r="A3840" t="str">
        <f t="shared" ref="A3840:A3903" si="60">CONCATENATE(I3840, B3840)</f>
        <v/>
      </c>
    </row>
    <row r="3841" spans="1:1">
      <c r="A3841" t="str">
        <f t="shared" si="60"/>
        <v/>
      </c>
    </row>
    <row r="3842" spans="1:1">
      <c r="A3842" t="str">
        <f t="shared" si="60"/>
        <v/>
      </c>
    </row>
    <row r="3843" spans="1:1">
      <c r="A3843" t="str">
        <f t="shared" si="60"/>
        <v/>
      </c>
    </row>
    <row r="3844" spans="1:1">
      <c r="A3844" t="str">
        <f t="shared" si="60"/>
        <v/>
      </c>
    </row>
    <row r="3845" spans="1:1">
      <c r="A3845" t="str">
        <f t="shared" si="60"/>
        <v/>
      </c>
    </row>
    <row r="3846" spans="1:1">
      <c r="A3846" t="str">
        <f t="shared" si="60"/>
        <v/>
      </c>
    </row>
    <row r="3847" spans="1:1">
      <c r="A3847" t="str">
        <f t="shared" si="60"/>
        <v/>
      </c>
    </row>
    <row r="3848" spans="1:1">
      <c r="A3848" t="str">
        <f t="shared" si="60"/>
        <v/>
      </c>
    </row>
    <row r="3849" spans="1:1">
      <c r="A3849" t="str">
        <f t="shared" si="60"/>
        <v/>
      </c>
    </row>
    <row r="3850" spans="1:1">
      <c r="A3850" t="str">
        <f t="shared" si="60"/>
        <v/>
      </c>
    </row>
    <row r="3851" spans="1:1">
      <c r="A3851" t="str">
        <f t="shared" si="60"/>
        <v/>
      </c>
    </row>
    <row r="3852" spans="1:1">
      <c r="A3852" t="str">
        <f t="shared" si="60"/>
        <v/>
      </c>
    </row>
    <row r="3853" spans="1:1">
      <c r="A3853" t="str">
        <f t="shared" si="60"/>
        <v/>
      </c>
    </row>
    <row r="3854" spans="1:1">
      <c r="A3854" t="str">
        <f t="shared" si="60"/>
        <v/>
      </c>
    </row>
    <row r="3855" spans="1:1">
      <c r="A3855" t="str">
        <f t="shared" si="60"/>
        <v/>
      </c>
    </row>
    <row r="3856" spans="1:1">
      <c r="A3856" t="str">
        <f t="shared" si="60"/>
        <v/>
      </c>
    </row>
    <row r="3857" spans="1:1">
      <c r="A3857" t="str">
        <f t="shared" si="60"/>
        <v/>
      </c>
    </row>
    <row r="3858" spans="1:1">
      <c r="A3858" t="str">
        <f t="shared" si="60"/>
        <v/>
      </c>
    </row>
    <row r="3859" spans="1:1">
      <c r="A3859" t="str">
        <f t="shared" si="60"/>
        <v/>
      </c>
    </row>
    <row r="3860" spans="1:1">
      <c r="A3860" t="str">
        <f t="shared" si="60"/>
        <v/>
      </c>
    </row>
    <row r="3861" spans="1:1">
      <c r="A3861" t="str">
        <f t="shared" si="60"/>
        <v/>
      </c>
    </row>
    <row r="3862" spans="1:1">
      <c r="A3862" t="str">
        <f t="shared" si="60"/>
        <v/>
      </c>
    </row>
    <row r="3863" spans="1:1">
      <c r="A3863" t="str">
        <f t="shared" si="60"/>
        <v/>
      </c>
    </row>
    <row r="3864" spans="1:1">
      <c r="A3864" t="str">
        <f t="shared" si="60"/>
        <v/>
      </c>
    </row>
    <row r="3865" spans="1:1">
      <c r="A3865" t="str">
        <f t="shared" si="60"/>
        <v/>
      </c>
    </row>
    <row r="3866" spans="1:1">
      <c r="A3866" t="str">
        <f t="shared" si="60"/>
        <v/>
      </c>
    </row>
    <row r="3867" spans="1:1">
      <c r="A3867" t="str">
        <f t="shared" si="60"/>
        <v/>
      </c>
    </row>
    <row r="3868" spans="1:1">
      <c r="A3868" t="str">
        <f t="shared" si="60"/>
        <v/>
      </c>
    </row>
    <row r="3869" spans="1:1">
      <c r="A3869" t="str">
        <f t="shared" si="60"/>
        <v/>
      </c>
    </row>
    <row r="3870" spans="1:1">
      <c r="A3870" t="str">
        <f t="shared" si="60"/>
        <v/>
      </c>
    </row>
    <row r="3871" spans="1:1">
      <c r="A3871" t="str">
        <f t="shared" si="60"/>
        <v/>
      </c>
    </row>
    <row r="3872" spans="1:1">
      <c r="A3872" t="str">
        <f t="shared" si="60"/>
        <v/>
      </c>
    </row>
    <row r="3873" spans="1:1">
      <c r="A3873" t="str">
        <f t="shared" si="60"/>
        <v/>
      </c>
    </row>
    <row r="3874" spans="1:1">
      <c r="A3874" t="str">
        <f t="shared" si="60"/>
        <v/>
      </c>
    </row>
    <row r="3875" spans="1:1">
      <c r="A3875" t="str">
        <f t="shared" si="60"/>
        <v/>
      </c>
    </row>
    <row r="3876" spans="1:1">
      <c r="A3876" t="str">
        <f t="shared" si="60"/>
        <v/>
      </c>
    </row>
    <row r="3877" spans="1:1">
      <c r="A3877" t="str">
        <f t="shared" si="60"/>
        <v/>
      </c>
    </row>
    <row r="3878" spans="1:1">
      <c r="A3878" t="str">
        <f t="shared" si="60"/>
        <v/>
      </c>
    </row>
    <row r="3879" spans="1:1">
      <c r="A3879" t="str">
        <f t="shared" si="60"/>
        <v/>
      </c>
    </row>
    <row r="3880" spans="1:1">
      <c r="A3880" t="str">
        <f t="shared" si="60"/>
        <v/>
      </c>
    </row>
    <row r="3881" spans="1:1">
      <c r="A3881" t="str">
        <f t="shared" si="60"/>
        <v/>
      </c>
    </row>
    <row r="3882" spans="1:1">
      <c r="A3882" t="str">
        <f t="shared" si="60"/>
        <v/>
      </c>
    </row>
    <row r="3883" spans="1:1">
      <c r="A3883" t="str">
        <f t="shared" si="60"/>
        <v/>
      </c>
    </row>
    <row r="3884" spans="1:1">
      <c r="A3884" t="str">
        <f t="shared" si="60"/>
        <v/>
      </c>
    </row>
    <row r="3885" spans="1:1">
      <c r="A3885" t="str">
        <f t="shared" si="60"/>
        <v/>
      </c>
    </row>
    <row r="3886" spans="1:1">
      <c r="A3886" t="str">
        <f t="shared" si="60"/>
        <v/>
      </c>
    </row>
    <row r="3887" spans="1:1">
      <c r="A3887" t="str">
        <f t="shared" si="60"/>
        <v/>
      </c>
    </row>
    <row r="3888" spans="1:1">
      <c r="A3888" t="str">
        <f t="shared" si="60"/>
        <v/>
      </c>
    </row>
    <row r="3889" spans="1:1">
      <c r="A3889" t="str">
        <f t="shared" si="60"/>
        <v/>
      </c>
    </row>
    <row r="3890" spans="1:1">
      <c r="A3890" t="str">
        <f t="shared" si="60"/>
        <v/>
      </c>
    </row>
    <row r="3891" spans="1:1">
      <c r="A3891" t="str">
        <f t="shared" si="60"/>
        <v/>
      </c>
    </row>
    <row r="3892" spans="1:1">
      <c r="A3892" t="str">
        <f t="shared" si="60"/>
        <v/>
      </c>
    </row>
    <row r="3893" spans="1:1">
      <c r="A3893" t="str">
        <f t="shared" si="60"/>
        <v/>
      </c>
    </row>
    <row r="3894" spans="1:1">
      <c r="A3894" t="str">
        <f t="shared" si="60"/>
        <v/>
      </c>
    </row>
    <row r="3895" spans="1:1">
      <c r="A3895" t="str">
        <f t="shared" si="60"/>
        <v/>
      </c>
    </row>
    <row r="3896" spans="1:1">
      <c r="A3896" t="str">
        <f t="shared" si="60"/>
        <v/>
      </c>
    </row>
    <row r="3897" spans="1:1">
      <c r="A3897" t="str">
        <f t="shared" si="60"/>
        <v/>
      </c>
    </row>
    <row r="3898" spans="1:1">
      <c r="A3898" t="str">
        <f t="shared" si="60"/>
        <v/>
      </c>
    </row>
    <row r="3899" spans="1:1">
      <c r="A3899" t="str">
        <f t="shared" si="60"/>
        <v/>
      </c>
    </row>
    <row r="3900" spans="1:1">
      <c r="A3900" t="str">
        <f t="shared" si="60"/>
        <v/>
      </c>
    </row>
    <row r="3901" spans="1:1">
      <c r="A3901" t="str">
        <f t="shared" si="60"/>
        <v/>
      </c>
    </row>
    <row r="3902" spans="1:1">
      <c r="A3902" t="str">
        <f t="shared" si="60"/>
        <v/>
      </c>
    </row>
    <row r="3903" spans="1:1">
      <c r="A3903" t="str">
        <f t="shared" si="60"/>
        <v/>
      </c>
    </row>
    <row r="3904" spans="1:1">
      <c r="A3904" t="str">
        <f t="shared" ref="A3904:A3967" si="61">CONCATENATE(I3904, B3904)</f>
        <v/>
      </c>
    </row>
    <row r="3905" spans="1:1">
      <c r="A3905" t="str">
        <f t="shared" si="61"/>
        <v/>
      </c>
    </row>
    <row r="3906" spans="1:1">
      <c r="A3906" t="str">
        <f t="shared" si="61"/>
        <v/>
      </c>
    </row>
    <row r="3907" spans="1:1">
      <c r="A3907" t="str">
        <f t="shared" si="61"/>
        <v/>
      </c>
    </row>
    <row r="3908" spans="1:1">
      <c r="A3908" t="str">
        <f t="shared" si="61"/>
        <v/>
      </c>
    </row>
    <row r="3909" spans="1:1">
      <c r="A3909" t="str">
        <f t="shared" si="61"/>
        <v/>
      </c>
    </row>
    <row r="3910" spans="1:1">
      <c r="A3910" t="str">
        <f t="shared" si="61"/>
        <v/>
      </c>
    </row>
    <row r="3911" spans="1:1">
      <c r="A3911" t="str">
        <f t="shared" si="61"/>
        <v/>
      </c>
    </row>
    <row r="3912" spans="1:1">
      <c r="A3912" t="str">
        <f t="shared" si="61"/>
        <v/>
      </c>
    </row>
    <row r="3913" spans="1:1">
      <c r="A3913" t="str">
        <f t="shared" si="61"/>
        <v/>
      </c>
    </row>
    <row r="3914" spans="1:1">
      <c r="A3914" t="str">
        <f t="shared" si="61"/>
        <v/>
      </c>
    </row>
    <row r="3915" spans="1:1">
      <c r="A3915" t="str">
        <f t="shared" si="61"/>
        <v/>
      </c>
    </row>
    <row r="3916" spans="1:1">
      <c r="A3916" t="str">
        <f t="shared" si="61"/>
        <v/>
      </c>
    </row>
    <row r="3917" spans="1:1">
      <c r="A3917" t="str">
        <f t="shared" si="61"/>
        <v/>
      </c>
    </row>
    <row r="3918" spans="1:1">
      <c r="A3918" t="str">
        <f t="shared" si="61"/>
        <v/>
      </c>
    </row>
    <row r="3919" spans="1:1">
      <c r="A3919" t="str">
        <f t="shared" si="61"/>
        <v/>
      </c>
    </row>
    <row r="3920" spans="1:1">
      <c r="A3920" t="str">
        <f t="shared" si="61"/>
        <v/>
      </c>
    </row>
    <row r="3921" spans="1:1">
      <c r="A3921" t="str">
        <f t="shared" si="61"/>
        <v/>
      </c>
    </row>
    <row r="3922" spans="1:1">
      <c r="A3922" t="str">
        <f t="shared" si="61"/>
        <v/>
      </c>
    </row>
    <row r="3923" spans="1:1">
      <c r="A3923" t="str">
        <f t="shared" si="61"/>
        <v/>
      </c>
    </row>
    <row r="3924" spans="1:1">
      <c r="A3924" t="str">
        <f t="shared" si="61"/>
        <v/>
      </c>
    </row>
    <row r="3925" spans="1:1">
      <c r="A3925" t="str">
        <f t="shared" si="61"/>
        <v/>
      </c>
    </row>
    <row r="3926" spans="1:1">
      <c r="A3926" t="str">
        <f t="shared" si="61"/>
        <v/>
      </c>
    </row>
    <row r="3927" spans="1:1">
      <c r="A3927" t="str">
        <f t="shared" si="61"/>
        <v/>
      </c>
    </row>
    <row r="3928" spans="1:1">
      <c r="A3928" t="str">
        <f t="shared" si="61"/>
        <v/>
      </c>
    </row>
    <row r="3929" spans="1:1">
      <c r="A3929" t="str">
        <f t="shared" si="61"/>
        <v/>
      </c>
    </row>
    <row r="3930" spans="1:1">
      <c r="A3930" t="str">
        <f t="shared" si="61"/>
        <v/>
      </c>
    </row>
    <row r="3931" spans="1:1">
      <c r="A3931" t="str">
        <f t="shared" si="61"/>
        <v/>
      </c>
    </row>
    <row r="3932" spans="1:1">
      <c r="A3932" t="str">
        <f t="shared" si="61"/>
        <v/>
      </c>
    </row>
    <row r="3933" spans="1:1">
      <c r="A3933" t="str">
        <f t="shared" si="61"/>
        <v/>
      </c>
    </row>
    <row r="3934" spans="1:1">
      <c r="A3934" t="str">
        <f t="shared" si="61"/>
        <v/>
      </c>
    </row>
    <row r="3935" spans="1:1">
      <c r="A3935" t="str">
        <f t="shared" si="61"/>
        <v/>
      </c>
    </row>
    <row r="3936" spans="1:1">
      <c r="A3936" t="str">
        <f t="shared" si="61"/>
        <v/>
      </c>
    </row>
    <row r="3937" spans="1:1">
      <c r="A3937" t="str">
        <f t="shared" si="61"/>
        <v/>
      </c>
    </row>
    <row r="3938" spans="1:1">
      <c r="A3938" t="str">
        <f t="shared" si="61"/>
        <v/>
      </c>
    </row>
    <row r="3939" spans="1:1">
      <c r="A3939" t="str">
        <f t="shared" si="61"/>
        <v/>
      </c>
    </row>
    <row r="3940" spans="1:1">
      <c r="A3940" t="str">
        <f t="shared" si="61"/>
        <v/>
      </c>
    </row>
    <row r="3941" spans="1:1">
      <c r="A3941" t="str">
        <f t="shared" si="61"/>
        <v/>
      </c>
    </row>
    <row r="3942" spans="1:1">
      <c r="A3942" t="str">
        <f t="shared" si="61"/>
        <v/>
      </c>
    </row>
    <row r="3943" spans="1:1">
      <c r="A3943" t="str">
        <f t="shared" si="61"/>
        <v/>
      </c>
    </row>
    <row r="3944" spans="1:1">
      <c r="A3944" t="str">
        <f t="shared" si="61"/>
        <v/>
      </c>
    </row>
    <row r="3945" spans="1:1">
      <c r="A3945" t="str">
        <f t="shared" si="61"/>
        <v/>
      </c>
    </row>
    <row r="3946" spans="1:1">
      <c r="A3946" t="str">
        <f t="shared" si="61"/>
        <v/>
      </c>
    </row>
    <row r="3947" spans="1:1">
      <c r="A3947" t="str">
        <f t="shared" si="61"/>
        <v/>
      </c>
    </row>
    <row r="3948" spans="1:1">
      <c r="A3948" t="str">
        <f t="shared" si="61"/>
        <v/>
      </c>
    </row>
    <row r="3949" spans="1:1">
      <c r="A3949" t="str">
        <f t="shared" si="61"/>
        <v/>
      </c>
    </row>
    <row r="3950" spans="1:1">
      <c r="A3950" t="str">
        <f t="shared" si="61"/>
        <v/>
      </c>
    </row>
    <row r="3951" spans="1:1">
      <c r="A3951" t="str">
        <f t="shared" si="61"/>
        <v/>
      </c>
    </row>
    <row r="3952" spans="1:1">
      <c r="A3952" t="str">
        <f t="shared" si="61"/>
        <v/>
      </c>
    </row>
    <row r="3953" spans="1:1">
      <c r="A3953" t="str">
        <f t="shared" si="61"/>
        <v/>
      </c>
    </row>
    <row r="3954" spans="1:1">
      <c r="A3954" t="str">
        <f t="shared" si="61"/>
        <v/>
      </c>
    </row>
    <row r="3955" spans="1:1">
      <c r="A3955" t="str">
        <f t="shared" si="61"/>
        <v/>
      </c>
    </row>
    <row r="3956" spans="1:1">
      <c r="A3956" t="str">
        <f t="shared" si="61"/>
        <v/>
      </c>
    </row>
    <row r="3957" spans="1:1">
      <c r="A3957" t="str">
        <f t="shared" si="61"/>
        <v/>
      </c>
    </row>
    <row r="3958" spans="1:1">
      <c r="A3958" t="str">
        <f t="shared" si="61"/>
        <v/>
      </c>
    </row>
    <row r="3959" spans="1:1">
      <c r="A3959" t="str">
        <f t="shared" si="61"/>
        <v/>
      </c>
    </row>
    <row r="3960" spans="1:1">
      <c r="A3960" t="str">
        <f t="shared" si="61"/>
        <v/>
      </c>
    </row>
    <row r="3961" spans="1:1">
      <c r="A3961" t="str">
        <f t="shared" si="61"/>
        <v/>
      </c>
    </row>
    <row r="3962" spans="1:1">
      <c r="A3962" t="str">
        <f t="shared" si="61"/>
        <v/>
      </c>
    </row>
    <row r="3963" spans="1:1">
      <c r="A3963" t="str">
        <f t="shared" si="61"/>
        <v/>
      </c>
    </row>
    <row r="3964" spans="1:1">
      <c r="A3964" t="str">
        <f t="shared" si="61"/>
        <v/>
      </c>
    </row>
    <row r="3965" spans="1:1">
      <c r="A3965" t="str">
        <f t="shared" si="61"/>
        <v/>
      </c>
    </row>
    <row r="3966" spans="1:1">
      <c r="A3966" t="str">
        <f t="shared" si="61"/>
        <v/>
      </c>
    </row>
    <row r="3967" spans="1:1">
      <c r="A3967" t="str">
        <f t="shared" si="61"/>
        <v/>
      </c>
    </row>
    <row r="3968" spans="1:1">
      <c r="A3968" t="str">
        <f t="shared" ref="A3968:A4031" si="62">CONCATENATE(I3968, B3968)</f>
        <v/>
      </c>
    </row>
    <row r="3969" spans="1:1">
      <c r="A3969" t="str">
        <f t="shared" si="62"/>
        <v/>
      </c>
    </row>
    <row r="3970" spans="1:1">
      <c r="A3970" t="str">
        <f t="shared" si="62"/>
        <v/>
      </c>
    </row>
    <row r="3971" spans="1:1">
      <c r="A3971" t="str">
        <f t="shared" si="62"/>
        <v/>
      </c>
    </row>
    <row r="3972" spans="1:1">
      <c r="A3972" t="str">
        <f t="shared" si="62"/>
        <v/>
      </c>
    </row>
    <row r="3973" spans="1:1">
      <c r="A3973" t="str">
        <f t="shared" si="62"/>
        <v/>
      </c>
    </row>
    <row r="3974" spans="1:1">
      <c r="A3974" t="str">
        <f t="shared" si="62"/>
        <v/>
      </c>
    </row>
    <row r="3975" spans="1:1">
      <c r="A3975" t="str">
        <f t="shared" si="62"/>
        <v/>
      </c>
    </row>
    <row r="3976" spans="1:1">
      <c r="A3976" t="str">
        <f t="shared" si="62"/>
        <v/>
      </c>
    </row>
    <row r="3977" spans="1:1">
      <c r="A3977" t="str">
        <f t="shared" si="62"/>
        <v/>
      </c>
    </row>
    <row r="3978" spans="1:1">
      <c r="A3978" t="str">
        <f t="shared" si="62"/>
        <v/>
      </c>
    </row>
    <row r="3979" spans="1:1">
      <c r="A3979" t="str">
        <f t="shared" si="62"/>
        <v/>
      </c>
    </row>
    <row r="3980" spans="1:1">
      <c r="A3980" t="str">
        <f t="shared" si="62"/>
        <v/>
      </c>
    </row>
    <row r="3981" spans="1:1">
      <c r="A3981" t="str">
        <f t="shared" si="62"/>
        <v/>
      </c>
    </row>
    <row r="3982" spans="1:1">
      <c r="A3982" t="str">
        <f t="shared" si="62"/>
        <v/>
      </c>
    </row>
    <row r="3983" spans="1:1">
      <c r="A3983" t="str">
        <f t="shared" si="62"/>
        <v/>
      </c>
    </row>
    <row r="3984" spans="1:1">
      <c r="A3984" t="str">
        <f t="shared" si="62"/>
        <v/>
      </c>
    </row>
    <row r="3985" spans="1:1">
      <c r="A3985" t="str">
        <f t="shared" si="62"/>
        <v/>
      </c>
    </row>
    <row r="3986" spans="1:1">
      <c r="A3986" t="str">
        <f t="shared" si="62"/>
        <v/>
      </c>
    </row>
    <row r="3987" spans="1:1">
      <c r="A3987" t="str">
        <f t="shared" si="62"/>
        <v/>
      </c>
    </row>
    <row r="3988" spans="1:1">
      <c r="A3988" t="str">
        <f t="shared" si="62"/>
        <v/>
      </c>
    </row>
    <row r="3989" spans="1:1">
      <c r="A3989" t="str">
        <f t="shared" si="62"/>
        <v/>
      </c>
    </row>
    <row r="3990" spans="1:1">
      <c r="A3990" t="str">
        <f t="shared" si="62"/>
        <v/>
      </c>
    </row>
    <row r="3991" spans="1:1">
      <c r="A3991" t="str">
        <f t="shared" si="62"/>
        <v/>
      </c>
    </row>
    <row r="3992" spans="1:1">
      <c r="A3992" t="str">
        <f t="shared" si="62"/>
        <v/>
      </c>
    </row>
    <row r="3993" spans="1:1">
      <c r="A3993" t="str">
        <f t="shared" si="62"/>
        <v/>
      </c>
    </row>
    <row r="3994" spans="1:1">
      <c r="A3994" t="str">
        <f t="shared" si="62"/>
        <v/>
      </c>
    </row>
    <row r="3995" spans="1:1">
      <c r="A3995" t="str">
        <f t="shared" si="62"/>
        <v/>
      </c>
    </row>
    <row r="3996" spans="1:1">
      <c r="A3996" t="str">
        <f t="shared" si="62"/>
        <v/>
      </c>
    </row>
    <row r="3997" spans="1:1">
      <c r="A3997" t="str">
        <f t="shared" si="62"/>
        <v/>
      </c>
    </row>
    <row r="3998" spans="1:1">
      <c r="A3998" t="str">
        <f t="shared" si="62"/>
        <v/>
      </c>
    </row>
    <row r="3999" spans="1:1">
      <c r="A3999" t="str">
        <f t="shared" si="62"/>
        <v/>
      </c>
    </row>
    <row r="4000" spans="1:1">
      <c r="A4000" t="str">
        <f t="shared" si="62"/>
        <v/>
      </c>
    </row>
    <row r="4001" spans="1:1">
      <c r="A4001" t="str">
        <f t="shared" si="62"/>
        <v/>
      </c>
    </row>
    <row r="4002" spans="1:1">
      <c r="A4002" t="str">
        <f t="shared" si="62"/>
        <v/>
      </c>
    </row>
    <row r="4003" spans="1:1">
      <c r="A4003" t="str">
        <f t="shared" si="62"/>
        <v/>
      </c>
    </row>
    <row r="4004" spans="1:1">
      <c r="A4004" t="str">
        <f t="shared" si="62"/>
        <v/>
      </c>
    </row>
    <row r="4005" spans="1:1">
      <c r="A4005" t="str">
        <f t="shared" si="62"/>
        <v/>
      </c>
    </row>
    <row r="4006" spans="1:1">
      <c r="A4006" t="str">
        <f t="shared" si="62"/>
        <v/>
      </c>
    </row>
    <row r="4007" spans="1:1">
      <c r="A4007" t="str">
        <f t="shared" si="62"/>
        <v/>
      </c>
    </row>
    <row r="4008" spans="1:1">
      <c r="A4008" t="str">
        <f t="shared" si="62"/>
        <v/>
      </c>
    </row>
    <row r="4009" spans="1:1">
      <c r="A4009" t="str">
        <f t="shared" si="62"/>
        <v/>
      </c>
    </row>
    <row r="4010" spans="1:1">
      <c r="A4010" t="str">
        <f t="shared" si="62"/>
        <v/>
      </c>
    </row>
    <row r="4011" spans="1:1">
      <c r="A4011" t="str">
        <f t="shared" si="62"/>
        <v/>
      </c>
    </row>
    <row r="4012" spans="1:1">
      <c r="A4012" t="str">
        <f t="shared" si="62"/>
        <v/>
      </c>
    </row>
    <row r="4013" spans="1:1">
      <c r="A4013" t="str">
        <f t="shared" si="62"/>
        <v/>
      </c>
    </row>
    <row r="4014" spans="1:1">
      <c r="A4014" t="str">
        <f t="shared" si="62"/>
        <v/>
      </c>
    </row>
    <row r="4015" spans="1:1">
      <c r="A4015" t="str">
        <f t="shared" si="62"/>
        <v/>
      </c>
    </row>
    <row r="4016" spans="1:1">
      <c r="A4016" t="str">
        <f t="shared" si="62"/>
        <v/>
      </c>
    </row>
    <row r="4017" spans="1:1">
      <c r="A4017" t="str">
        <f t="shared" si="62"/>
        <v/>
      </c>
    </row>
    <row r="4018" spans="1:1">
      <c r="A4018" t="str">
        <f t="shared" si="62"/>
        <v/>
      </c>
    </row>
    <row r="4019" spans="1:1">
      <c r="A4019" t="str">
        <f t="shared" si="62"/>
        <v/>
      </c>
    </row>
    <row r="4020" spans="1:1">
      <c r="A4020" t="str">
        <f t="shared" si="62"/>
        <v/>
      </c>
    </row>
    <row r="4021" spans="1:1">
      <c r="A4021" t="str">
        <f t="shared" si="62"/>
        <v/>
      </c>
    </row>
    <row r="4022" spans="1:1">
      <c r="A4022" t="str">
        <f t="shared" si="62"/>
        <v/>
      </c>
    </row>
    <row r="4023" spans="1:1">
      <c r="A4023" t="str">
        <f t="shared" si="62"/>
        <v/>
      </c>
    </row>
    <row r="4024" spans="1:1">
      <c r="A4024" t="str">
        <f t="shared" si="62"/>
        <v/>
      </c>
    </row>
    <row r="4025" spans="1:1">
      <c r="A4025" t="str">
        <f t="shared" si="62"/>
        <v/>
      </c>
    </row>
    <row r="4026" spans="1:1">
      <c r="A4026" t="str">
        <f t="shared" si="62"/>
        <v/>
      </c>
    </row>
    <row r="4027" spans="1:1">
      <c r="A4027" t="str">
        <f t="shared" si="62"/>
        <v/>
      </c>
    </row>
    <row r="4028" spans="1:1">
      <c r="A4028" t="str">
        <f t="shared" si="62"/>
        <v/>
      </c>
    </row>
    <row r="4029" spans="1:1">
      <c r="A4029" t="str">
        <f t="shared" si="62"/>
        <v/>
      </c>
    </row>
    <row r="4030" spans="1:1">
      <c r="A4030" t="str">
        <f t="shared" si="62"/>
        <v/>
      </c>
    </row>
    <row r="4031" spans="1:1">
      <c r="A4031" t="str">
        <f t="shared" si="62"/>
        <v/>
      </c>
    </row>
    <row r="4032" spans="1:1">
      <c r="A4032" t="str">
        <f t="shared" ref="A4032:A4095" si="63">CONCATENATE(I4032, B4032)</f>
        <v/>
      </c>
    </row>
    <row r="4033" spans="1:1">
      <c r="A4033" t="str">
        <f t="shared" si="63"/>
        <v/>
      </c>
    </row>
    <row r="4034" spans="1:1">
      <c r="A4034" t="str">
        <f t="shared" si="63"/>
        <v/>
      </c>
    </row>
    <row r="4035" spans="1:1">
      <c r="A4035" t="str">
        <f t="shared" si="63"/>
        <v/>
      </c>
    </row>
    <row r="4036" spans="1:1">
      <c r="A4036" t="str">
        <f t="shared" si="63"/>
        <v/>
      </c>
    </row>
    <row r="4037" spans="1:1">
      <c r="A4037" t="str">
        <f t="shared" si="63"/>
        <v/>
      </c>
    </row>
    <row r="4038" spans="1:1">
      <c r="A4038" t="str">
        <f t="shared" si="63"/>
        <v/>
      </c>
    </row>
    <row r="4039" spans="1:1">
      <c r="A4039" t="str">
        <f t="shared" si="63"/>
        <v/>
      </c>
    </row>
    <row r="4040" spans="1:1">
      <c r="A4040" t="str">
        <f t="shared" si="63"/>
        <v/>
      </c>
    </row>
    <row r="4041" spans="1:1">
      <c r="A4041" t="str">
        <f t="shared" si="63"/>
        <v/>
      </c>
    </row>
    <row r="4042" spans="1:1">
      <c r="A4042" t="str">
        <f t="shared" si="63"/>
        <v/>
      </c>
    </row>
    <row r="4043" spans="1:1">
      <c r="A4043" t="str">
        <f t="shared" si="63"/>
        <v/>
      </c>
    </row>
    <row r="4044" spans="1:1">
      <c r="A4044" t="str">
        <f t="shared" si="63"/>
        <v/>
      </c>
    </row>
    <row r="4045" spans="1:1">
      <c r="A4045" t="str">
        <f t="shared" si="63"/>
        <v/>
      </c>
    </row>
    <row r="4046" spans="1:1">
      <c r="A4046" t="str">
        <f t="shared" si="63"/>
        <v/>
      </c>
    </row>
    <row r="4047" spans="1:1">
      <c r="A4047" t="str">
        <f t="shared" si="63"/>
        <v/>
      </c>
    </row>
    <row r="4048" spans="1:1">
      <c r="A4048" t="str">
        <f t="shared" si="63"/>
        <v/>
      </c>
    </row>
    <row r="4049" spans="1:1">
      <c r="A4049" t="str">
        <f t="shared" si="63"/>
        <v/>
      </c>
    </row>
    <row r="4050" spans="1:1">
      <c r="A4050" t="str">
        <f t="shared" si="63"/>
        <v/>
      </c>
    </row>
    <row r="4051" spans="1:1">
      <c r="A4051" t="str">
        <f t="shared" si="63"/>
        <v/>
      </c>
    </row>
    <row r="4052" spans="1:1">
      <c r="A4052" t="str">
        <f t="shared" si="63"/>
        <v/>
      </c>
    </row>
    <row r="4053" spans="1:1">
      <c r="A4053" t="str">
        <f t="shared" si="63"/>
        <v/>
      </c>
    </row>
    <row r="4054" spans="1:1">
      <c r="A4054" t="str">
        <f t="shared" si="63"/>
        <v/>
      </c>
    </row>
    <row r="4055" spans="1:1">
      <c r="A4055" t="str">
        <f t="shared" si="63"/>
        <v/>
      </c>
    </row>
    <row r="4056" spans="1:1">
      <c r="A4056" t="str">
        <f t="shared" si="63"/>
        <v/>
      </c>
    </row>
    <row r="4057" spans="1:1">
      <c r="A4057" t="str">
        <f t="shared" si="63"/>
        <v/>
      </c>
    </row>
    <row r="4058" spans="1:1">
      <c r="A4058" t="str">
        <f t="shared" si="63"/>
        <v/>
      </c>
    </row>
    <row r="4059" spans="1:1">
      <c r="A4059" t="str">
        <f t="shared" si="63"/>
        <v/>
      </c>
    </row>
    <row r="4060" spans="1:1">
      <c r="A4060" t="str">
        <f t="shared" si="63"/>
        <v/>
      </c>
    </row>
    <row r="4061" spans="1:1">
      <c r="A4061" t="str">
        <f t="shared" si="63"/>
        <v/>
      </c>
    </row>
    <row r="4062" spans="1:1">
      <c r="A4062" t="str">
        <f t="shared" si="63"/>
        <v/>
      </c>
    </row>
    <row r="4063" spans="1:1">
      <c r="A4063" t="str">
        <f t="shared" si="63"/>
        <v/>
      </c>
    </row>
    <row r="4064" spans="1:1">
      <c r="A4064" t="str">
        <f t="shared" si="63"/>
        <v/>
      </c>
    </row>
    <row r="4065" spans="1:1">
      <c r="A4065" t="str">
        <f t="shared" si="63"/>
        <v/>
      </c>
    </row>
    <row r="4066" spans="1:1">
      <c r="A4066" t="str">
        <f t="shared" si="63"/>
        <v/>
      </c>
    </row>
    <row r="4067" spans="1:1">
      <c r="A4067" t="str">
        <f t="shared" si="63"/>
        <v/>
      </c>
    </row>
    <row r="4068" spans="1:1">
      <c r="A4068" t="str">
        <f t="shared" si="63"/>
        <v/>
      </c>
    </row>
    <row r="4069" spans="1:1">
      <c r="A4069" t="str">
        <f t="shared" si="63"/>
        <v/>
      </c>
    </row>
    <row r="4070" spans="1:1">
      <c r="A4070" t="str">
        <f t="shared" si="63"/>
        <v/>
      </c>
    </row>
    <row r="4071" spans="1:1">
      <c r="A4071" t="str">
        <f t="shared" si="63"/>
        <v/>
      </c>
    </row>
    <row r="4072" spans="1:1">
      <c r="A4072" t="str">
        <f t="shared" si="63"/>
        <v/>
      </c>
    </row>
    <row r="4073" spans="1:1">
      <c r="A4073" t="str">
        <f t="shared" si="63"/>
        <v/>
      </c>
    </row>
    <row r="4074" spans="1:1">
      <c r="A4074" t="str">
        <f t="shared" si="63"/>
        <v/>
      </c>
    </row>
    <row r="4075" spans="1:1">
      <c r="A4075" t="str">
        <f t="shared" si="63"/>
        <v/>
      </c>
    </row>
    <row r="4076" spans="1:1">
      <c r="A4076" t="str">
        <f t="shared" si="63"/>
        <v/>
      </c>
    </row>
    <row r="4077" spans="1:1">
      <c r="A4077" t="str">
        <f t="shared" si="63"/>
        <v/>
      </c>
    </row>
    <row r="4078" spans="1:1">
      <c r="A4078" t="str">
        <f t="shared" si="63"/>
        <v/>
      </c>
    </row>
    <row r="4079" spans="1:1">
      <c r="A4079" t="str">
        <f t="shared" si="63"/>
        <v/>
      </c>
    </row>
    <row r="4080" spans="1:1">
      <c r="A4080" t="str">
        <f t="shared" si="63"/>
        <v/>
      </c>
    </row>
    <row r="4081" spans="1:1">
      <c r="A4081" t="str">
        <f t="shared" si="63"/>
        <v/>
      </c>
    </row>
    <row r="4082" spans="1:1">
      <c r="A4082" t="str">
        <f t="shared" si="63"/>
        <v/>
      </c>
    </row>
    <row r="4083" spans="1:1">
      <c r="A4083" t="str">
        <f t="shared" si="63"/>
        <v/>
      </c>
    </row>
    <row r="4084" spans="1:1">
      <c r="A4084" t="str">
        <f t="shared" si="63"/>
        <v/>
      </c>
    </row>
    <row r="4085" spans="1:1">
      <c r="A4085" t="str">
        <f t="shared" si="63"/>
        <v/>
      </c>
    </row>
    <row r="4086" spans="1:1">
      <c r="A4086" t="str">
        <f t="shared" si="63"/>
        <v/>
      </c>
    </row>
    <row r="4087" spans="1:1">
      <c r="A4087" t="str">
        <f t="shared" si="63"/>
        <v/>
      </c>
    </row>
    <row r="4088" spans="1:1">
      <c r="A4088" t="str">
        <f t="shared" si="63"/>
        <v/>
      </c>
    </row>
    <row r="4089" spans="1:1">
      <c r="A4089" t="str">
        <f t="shared" si="63"/>
        <v/>
      </c>
    </row>
    <row r="4090" spans="1:1">
      <c r="A4090" t="str">
        <f t="shared" si="63"/>
        <v/>
      </c>
    </row>
    <row r="4091" spans="1:1">
      <c r="A4091" t="str">
        <f t="shared" si="63"/>
        <v/>
      </c>
    </row>
    <row r="4092" spans="1:1">
      <c r="A4092" t="str">
        <f t="shared" si="63"/>
        <v/>
      </c>
    </row>
    <row r="4093" spans="1:1">
      <c r="A4093" t="str">
        <f t="shared" si="63"/>
        <v/>
      </c>
    </row>
    <row r="4094" spans="1:1">
      <c r="A4094" t="str">
        <f t="shared" si="63"/>
        <v/>
      </c>
    </row>
    <row r="4095" spans="1:1">
      <c r="A4095" t="str">
        <f t="shared" si="63"/>
        <v/>
      </c>
    </row>
    <row r="4096" spans="1:1">
      <c r="A4096" t="str">
        <f t="shared" ref="A4096:A4159" si="64">CONCATENATE(I4096, B4096)</f>
        <v/>
      </c>
    </row>
    <row r="4097" spans="1:1">
      <c r="A4097" t="str">
        <f t="shared" si="64"/>
        <v/>
      </c>
    </row>
    <row r="4098" spans="1:1">
      <c r="A4098" t="str">
        <f t="shared" si="64"/>
        <v/>
      </c>
    </row>
    <row r="4099" spans="1:1">
      <c r="A4099" t="str">
        <f t="shared" si="64"/>
        <v/>
      </c>
    </row>
    <row r="4100" spans="1:1">
      <c r="A4100" t="str">
        <f t="shared" si="64"/>
        <v/>
      </c>
    </row>
    <row r="4101" spans="1:1">
      <c r="A4101" t="str">
        <f t="shared" si="64"/>
        <v/>
      </c>
    </row>
    <row r="4102" spans="1:1">
      <c r="A4102" t="str">
        <f t="shared" si="64"/>
        <v/>
      </c>
    </row>
    <row r="4103" spans="1:1">
      <c r="A4103" t="str">
        <f t="shared" si="64"/>
        <v/>
      </c>
    </row>
    <row r="4104" spans="1:1">
      <c r="A4104" t="str">
        <f t="shared" si="64"/>
        <v/>
      </c>
    </row>
    <row r="4105" spans="1:1">
      <c r="A4105" t="str">
        <f t="shared" si="64"/>
        <v/>
      </c>
    </row>
    <row r="4106" spans="1:1">
      <c r="A4106" t="str">
        <f t="shared" si="64"/>
        <v/>
      </c>
    </row>
    <row r="4107" spans="1:1">
      <c r="A4107" t="str">
        <f t="shared" si="64"/>
        <v/>
      </c>
    </row>
    <row r="4108" spans="1:1">
      <c r="A4108" t="str">
        <f t="shared" si="64"/>
        <v/>
      </c>
    </row>
    <row r="4109" spans="1:1">
      <c r="A4109" t="str">
        <f t="shared" si="64"/>
        <v/>
      </c>
    </row>
    <row r="4110" spans="1:1">
      <c r="A4110" t="str">
        <f t="shared" si="64"/>
        <v/>
      </c>
    </row>
    <row r="4111" spans="1:1">
      <c r="A4111" t="str">
        <f t="shared" si="64"/>
        <v/>
      </c>
    </row>
    <row r="4112" spans="1:1">
      <c r="A4112" t="str">
        <f t="shared" si="64"/>
        <v/>
      </c>
    </row>
    <row r="4113" spans="1:1">
      <c r="A4113" t="str">
        <f t="shared" si="64"/>
        <v/>
      </c>
    </row>
    <row r="4114" spans="1:1">
      <c r="A4114" t="str">
        <f t="shared" si="64"/>
        <v/>
      </c>
    </row>
    <row r="4115" spans="1:1">
      <c r="A4115" t="str">
        <f t="shared" si="64"/>
        <v/>
      </c>
    </row>
    <row r="4116" spans="1:1">
      <c r="A4116" t="str">
        <f t="shared" si="64"/>
        <v/>
      </c>
    </row>
    <row r="4117" spans="1:1">
      <c r="A4117" t="str">
        <f t="shared" si="64"/>
        <v/>
      </c>
    </row>
    <row r="4118" spans="1:1">
      <c r="A4118" t="str">
        <f t="shared" si="64"/>
        <v/>
      </c>
    </row>
    <row r="4119" spans="1:1">
      <c r="A4119" t="str">
        <f t="shared" si="64"/>
        <v/>
      </c>
    </row>
    <row r="4120" spans="1:1">
      <c r="A4120" t="str">
        <f t="shared" si="64"/>
        <v/>
      </c>
    </row>
    <row r="4121" spans="1:1">
      <c r="A4121" t="str">
        <f t="shared" si="64"/>
        <v/>
      </c>
    </row>
    <row r="4122" spans="1:1">
      <c r="A4122" t="str">
        <f t="shared" si="64"/>
        <v/>
      </c>
    </row>
    <row r="4123" spans="1:1">
      <c r="A4123" t="str">
        <f t="shared" si="64"/>
        <v/>
      </c>
    </row>
    <row r="4124" spans="1:1">
      <c r="A4124" t="str">
        <f t="shared" si="64"/>
        <v/>
      </c>
    </row>
    <row r="4125" spans="1:1">
      <c r="A4125" t="str">
        <f t="shared" si="64"/>
        <v/>
      </c>
    </row>
    <row r="4126" spans="1:1">
      <c r="A4126" t="str">
        <f t="shared" si="64"/>
        <v/>
      </c>
    </row>
    <row r="4127" spans="1:1">
      <c r="A4127" t="str">
        <f t="shared" si="64"/>
        <v/>
      </c>
    </row>
    <row r="4128" spans="1:1">
      <c r="A4128" t="str">
        <f t="shared" si="64"/>
        <v/>
      </c>
    </row>
    <row r="4129" spans="1:1">
      <c r="A4129" t="str">
        <f t="shared" si="64"/>
        <v/>
      </c>
    </row>
    <row r="4130" spans="1:1">
      <c r="A4130" t="str">
        <f t="shared" si="64"/>
        <v/>
      </c>
    </row>
    <row r="4131" spans="1:1">
      <c r="A4131" t="str">
        <f t="shared" si="64"/>
        <v/>
      </c>
    </row>
    <row r="4132" spans="1:1">
      <c r="A4132" t="str">
        <f t="shared" si="64"/>
        <v/>
      </c>
    </row>
    <row r="4133" spans="1:1">
      <c r="A4133" t="str">
        <f t="shared" si="64"/>
        <v/>
      </c>
    </row>
    <row r="4134" spans="1:1">
      <c r="A4134" t="str">
        <f t="shared" si="64"/>
        <v/>
      </c>
    </row>
    <row r="4135" spans="1:1">
      <c r="A4135" t="str">
        <f t="shared" si="64"/>
        <v/>
      </c>
    </row>
    <row r="4136" spans="1:1">
      <c r="A4136" t="str">
        <f t="shared" si="64"/>
        <v/>
      </c>
    </row>
    <row r="4137" spans="1:1">
      <c r="A4137" t="str">
        <f t="shared" si="64"/>
        <v/>
      </c>
    </row>
    <row r="4138" spans="1:1">
      <c r="A4138" t="str">
        <f t="shared" si="64"/>
        <v/>
      </c>
    </row>
    <row r="4139" spans="1:1">
      <c r="A4139" t="str">
        <f t="shared" si="64"/>
        <v/>
      </c>
    </row>
    <row r="4140" spans="1:1">
      <c r="A4140" t="str">
        <f t="shared" si="64"/>
        <v/>
      </c>
    </row>
    <row r="4141" spans="1:1">
      <c r="A4141" t="str">
        <f t="shared" si="64"/>
        <v/>
      </c>
    </row>
    <row r="4142" spans="1:1">
      <c r="A4142" t="str">
        <f t="shared" si="64"/>
        <v/>
      </c>
    </row>
    <row r="4143" spans="1:1">
      <c r="A4143" t="str">
        <f t="shared" si="64"/>
        <v/>
      </c>
    </row>
    <row r="4144" spans="1:1">
      <c r="A4144" t="str">
        <f t="shared" si="64"/>
        <v/>
      </c>
    </row>
    <row r="4145" spans="1:1">
      <c r="A4145" t="str">
        <f t="shared" si="64"/>
        <v/>
      </c>
    </row>
    <row r="4146" spans="1:1">
      <c r="A4146" t="str">
        <f t="shared" si="64"/>
        <v/>
      </c>
    </row>
    <row r="4147" spans="1:1">
      <c r="A4147" t="str">
        <f t="shared" si="64"/>
        <v/>
      </c>
    </row>
    <row r="4148" spans="1:1">
      <c r="A4148" t="str">
        <f t="shared" si="64"/>
        <v/>
      </c>
    </row>
    <row r="4149" spans="1:1">
      <c r="A4149" t="str">
        <f t="shared" si="64"/>
        <v/>
      </c>
    </row>
    <row r="4150" spans="1:1">
      <c r="A4150" t="str">
        <f t="shared" si="64"/>
        <v/>
      </c>
    </row>
    <row r="4151" spans="1:1">
      <c r="A4151" t="str">
        <f t="shared" si="64"/>
        <v/>
      </c>
    </row>
    <row r="4152" spans="1:1">
      <c r="A4152" t="str">
        <f t="shared" si="64"/>
        <v/>
      </c>
    </row>
    <row r="4153" spans="1:1">
      <c r="A4153" t="str">
        <f t="shared" si="64"/>
        <v/>
      </c>
    </row>
    <row r="4154" spans="1:1">
      <c r="A4154" t="str">
        <f t="shared" si="64"/>
        <v/>
      </c>
    </row>
    <row r="4155" spans="1:1">
      <c r="A4155" t="str">
        <f t="shared" si="64"/>
        <v/>
      </c>
    </row>
    <row r="4156" spans="1:1">
      <c r="A4156" t="str">
        <f t="shared" si="64"/>
        <v/>
      </c>
    </row>
    <row r="4157" spans="1:1">
      <c r="A4157" t="str">
        <f t="shared" si="64"/>
        <v/>
      </c>
    </row>
    <row r="4158" spans="1:1">
      <c r="A4158" t="str">
        <f t="shared" si="64"/>
        <v/>
      </c>
    </row>
    <row r="4159" spans="1:1">
      <c r="A4159" t="str">
        <f t="shared" si="64"/>
        <v/>
      </c>
    </row>
    <row r="4160" spans="1:1">
      <c r="A4160" t="str">
        <f t="shared" ref="A4160:A4223" si="65">CONCATENATE(I4160, B4160)</f>
        <v/>
      </c>
    </row>
    <row r="4161" spans="1:1">
      <c r="A4161" t="str">
        <f t="shared" si="65"/>
        <v/>
      </c>
    </row>
    <row r="4162" spans="1:1">
      <c r="A4162" t="str">
        <f t="shared" si="65"/>
        <v/>
      </c>
    </row>
    <row r="4163" spans="1:1">
      <c r="A4163" t="str">
        <f t="shared" si="65"/>
        <v/>
      </c>
    </row>
    <row r="4164" spans="1:1">
      <c r="A4164" t="str">
        <f t="shared" si="65"/>
        <v/>
      </c>
    </row>
    <row r="4165" spans="1:1">
      <c r="A4165" t="str">
        <f t="shared" si="65"/>
        <v/>
      </c>
    </row>
    <row r="4166" spans="1:1">
      <c r="A4166" t="str">
        <f t="shared" si="65"/>
        <v/>
      </c>
    </row>
    <row r="4167" spans="1:1">
      <c r="A4167" t="str">
        <f t="shared" si="65"/>
        <v/>
      </c>
    </row>
    <row r="4168" spans="1:1">
      <c r="A4168" t="str">
        <f t="shared" si="65"/>
        <v/>
      </c>
    </row>
    <row r="4169" spans="1:1">
      <c r="A4169" t="str">
        <f t="shared" si="65"/>
        <v/>
      </c>
    </row>
    <row r="4170" spans="1:1">
      <c r="A4170" t="str">
        <f t="shared" si="65"/>
        <v/>
      </c>
    </row>
    <row r="4171" spans="1:1">
      <c r="A4171" t="str">
        <f t="shared" si="65"/>
        <v/>
      </c>
    </row>
    <row r="4172" spans="1:1">
      <c r="A4172" t="str">
        <f t="shared" si="65"/>
        <v/>
      </c>
    </row>
    <row r="4173" spans="1:1">
      <c r="A4173" t="str">
        <f t="shared" si="65"/>
        <v/>
      </c>
    </row>
    <row r="4174" spans="1:1">
      <c r="A4174" t="str">
        <f t="shared" si="65"/>
        <v/>
      </c>
    </row>
    <row r="4175" spans="1:1">
      <c r="A4175" t="str">
        <f t="shared" si="65"/>
        <v/>
      </c>
    </row>
    <row r="4176" spans="1:1">
      <c r="A4176" t="str">
        <f t="shared" si="65"/>
        <v/>
      </c>
    </row>
    <row r="4177" spans="1:1">
      <c r="A4177" t="str">
        <f t="shared" si="65"/>
        <v/>
      </c>
    </row>
    <row r="4178" spans="1:1">
      <c r="A4178" t="str">
        <f t="shared" si="65"/>
        <v/>
      </c>
    </row>
    <row r="4179" spans="1:1">
      <c r="A4179" t="str">
        <f t="shared" si="65"/>
        <v/>
      </c>
    </row>
    <row r="4180" spans="1:1">
      <c r="A4180" t="str">
        <f t="shared" si="65"/>
        <v/>
      </c>
    </row>
    <row r="4181" spans="1:1">
      <c r="A4181" t="str">
        <f t="shared" si="65"/>
        <v/>
      </c>
    </row>
    <row r="4182" spans="1:1">
      <c r="A4182" t="str">
        <f t="shared" si="65"/>
        <v/>
      </c>
    </row>
    <row r="4183" spans="1:1">
      <c r="A4183" t="str">
        <f t="shared" si="65"/>
        <v/>
      </c>
    </row>
    <row r="4184" spans="1:1">
      <c r="A4184" t="str">
        <f t="shared" si="65"/>
        <v/>
      </c>
    </row>
    <row r="4185" spans="1:1">
      <c r="A4185" t="str">
        <f t="shared" si="65"/>
        <v/>
      </c>
    </row>
    <row r="4186" spans="1:1">
      <c r="A4186" t="str">
        <f t="shared" si="65"/>
        <v/>
      </c>
    </row>
    <row r="4187" spans="1:1">
      <c r="A4187" t="str">
        <f t="shared" si="65"/>
        <v/>
      </c>
    </row>
    <row r="4188" spans="1:1">
      <c r="A4188" t="str">
        <f t="shared" si="65"/>
        <v/>
      </c>
    </row>
    <row r="4189" spans="1:1">
      <c r="A4189" t="str">
        <f t="shared" si="65"/>
        <v/>
      </c>
    </row>
    <row r="4190" spans="1:1">
      <c r="A4190" t="str">
        <f t="shared" si="65"/>
        <v/>
      </c>
    </row>
    <row r="4191" spans="1:1">
      <c r="A4191" t="str">
        <f t="shared" si="65"/>
        <v/>
      </c>
    </row>
    <row r="4192" spans="1:1">
      <c r="A4192" t="str">
        <f t="shared" si="65"/>
        <v/>
      </c>
    </row>
    <row r="4193" spans="1:1">
      <c r="A4193" t="str">
        <f t="shared" si="65"/>
        <v/>
      </c>
    </row>
    <row r="4194" spans="1:1">
      <c r="A4194" t="str">
        <f t="shared" si="65"/>
        <v/>
      </c>
    </row>
    <row r="4195" spans="1:1">
      <c r="A4195" t="str">
        <f t="shared" si="65"/>
        <v/>
      </c>
    </row>
    <row r="4196" spans="1:1">
      <c r="A4196" t="str">
        <f t="shared" si="65"/>
        <v/>
      </c>
    </row>
    <row r="4197" spans="1:1">
      <c r="A4197" t="str">
        <f t="shared" si="65"/>
        <v/>
      </c>
    </row>
    <row r="4198" spans="1:1">
      <c r="A4198" t="str">
        <f t="shared" si="65"/>
        <v/>
      </c>
    </row>
    <row r="4199" spans="1:1">
      <c r="A4199" t="str">
        <f t="shared" si="65"/>
        <v/>
      </c>
    </row>
    <row r="4200" spans="1:1">
      <c r="A4200" t="str">
        <f t="shared" si="65"/>
        <v/>
      </c>
    </row>
    <row r="4201" spans="1:1">
      <c r="A4201" t="str">
        <f t="shared" si="65"/>
        <v/>
      </c>
    </row>
    <row r="4202" spans="1:1">
      <c r="A4202" t="str">
        <f t="shared" si="65"/>
        <v/>
      </c>
    </row>
    <row r="4203" spans="1:1">
      <c r="A4203" t="str">
        <f t="shared" si="65"/>
        <v/>
      </c>
    </row>
    <row r="4204" spans="1:1">
      <c r="A4204" t="str">
        <f t="shared" si="65"/>
        <v/>
      </c>
    </row>
    <row r="4205" spans="1:1">
      <c r="A4205" t="str">
        <f t="shared" si="65"/>
        <v/>
      </c>
    </row>
    <row r="4206" spans="1:1">
      <c r="A4206" t="str">
        <f t="shared" si="65"/>
        <v/>
      </c>
    </row>
    <row r="4207" spans="1:1">
      <c r="A4207" t="str">
        <f t="shared" si="65"/>
        <v/>
      </c>
    </row>
    <row r="4208" spans="1:1">
      <c r="A4208" t="str">
        <f t="shared" si="65"/>
        <v/>
      </c>
    </row>
    <row r="4209" spans="1:1">
      <c r="A4209" t="str">
        <f t="shared" si="65"/>
        <v/>
      </c>
    </row>
    <row r="4210" spans="1:1">
      <c r="A4210" t="str">
        <f t="shared" si="65"/>
        <v/>
      </c>
    </row>
    <row r="4211" spans="1:1">
      <c r="A4211" t="str">
        <f t="shared" si="65"/>
        <v/>
      </c>
    </row>
    <row r="4212" spans="1:1">
      <c r="A4212" t="str">
        <f t="shared" si="65"/>
        <v/>
      </c>
    </row>
    <row r="4213" spans="1:1">
      <c r="A4213" t="str">
        <f t="shared" si="65"/>
        <v/>
      </c>
    </row>
    <row r="4214" spans="1:1">
      <c r="A4214" t="str">
        <f t="shared" si="65"/>
        <v/>
      </c>
    </row>
    <row r="4215" spans="1:1">
      <c r="A4215" t="str">
        <f t="shared" si="65"/>
        <v/>
      </c>
    </row>
    <row r="4216" spans="1:1">
      <c r="A4216" t="str">
        <f t="shared" si="65"/>
        <v/>
      </c>
    </row>
    <row r="4217" spans="1:1">
      <c r="A4217" t="str">
        <f t="shared" si="65"/>
        <v/>
      </c>
    </row>
    <row r="4218" spans="1:1">
      <c r="A4218" t="str">
        <f t="shared" si="65"/>
        <v/>
      </c>
    </row>
    <row r="4219" spans="1:1">
      <c r="A4219" t="str">
        <f t="shared" si="65"/>
        <v/>
      </c>
    </row>
    <row r="4220" spans="1:1">
      <c r="A4220" t="str">
        <f t="shared" si="65"/>
        <v/>
      </c>
    </row>
    <row r="4221" spans="1:1">
      <c r="A4221" t="str">
        <f t="shared" si="65"/>
        <v/>
      </c>
    </row>
    <row r="4222" spans="1:1">
      <c r="A4222" t="str">
        <f t="shared" si="65"/>
        <v/>
      </c>
    </row>
    <row r="4223" spans="1:1">
      <c r="A4223" t="str">
        <f t="shared" si="65"/>
        <v/>
      </c>
    </row>
    <row r="4224" spans="1:1">
      <c r="A4224" t="str">
        <f t="shared" ref="A4224:A4287" si="66">CONCATENATE(I4224, B4224)</f>
        <v/>
      </c>
    </row>
    <row r="4225" spans="1:1">
      <c r="A4225" t="str">
        <f t="shared" si="66"/>
        <v/>
      </c>
    </row>
    <row r="4226" spans="1:1">
      <c r="A4226" t="str">
        <f t="shared" si="66"/>
        <v/>
      </c>
    </row>
    <row r="4227" spans="1:1">
      <c r="A4227" t="str">
        <f t="shared" si="66"/>
        <v/>
      </c>
    </row>
    <row r="4228" spans="1:1">
      <c r="A4228" t="str">
        <f t="shared" si="66"/>
        <v/>
      </c>
    </row>
    <row r="4229" spans="1:1">
      <c r="A4229" t="str">
        <f t="shared" si="66"/>
        <v/>
      </c>
    </row>
    <row r="4230" spans="1:1">
      <c r="A4230" t="str">
        <f t="shared" si="66"/>
        <v/>
      </c>
    </row>
    <row r="4231" spans="1:1">
      <c r="A4231" t="str">
        <f t="shared" si="66"/>
        <v/>
      </c>
    </row>
    <row r="4232" spans="1:1">
      <c r="A4232" t="str">
        <f t="shared" si="66"/>
        <v/>
      </c>
    </row>
    <row r="4233" spans="1:1">
      <c r="A4233" t="str">
        <f t="shared" si="66"/>
        <v/>
      </c>
    </row>
    <row r="4234" spans="1:1">
      <c r="A4234" t="str">
        <f t="shared" si="66"/>
        <v/>
      </c>
    </row>
    <row r="4235" spans="1:1">
      <c r="A4235" t="str">
        <f t="shared" si="66"/>
        <v/>
      </c>
    </row>
    <row r="4236" spans="1:1">
      <c r="A4236" t="str">
        <f t="shared" si="66"/>
        <v/>
      </c>
    </row>
    <row r="4237" spans="1:1">
      <c r="A4237" t="str">
        <f t="shared" si="66"/>
        <v/>
      </c>
    </row>
    <row r="4238" spans="1:1">
      <c r="A4238" t="str">
        <f t="shared" si="66"/>
        <v/>
      </c>
    </row>
    <row r="4239" spans="1:1">
      <c r="A4239" t="str">
        <f t="shared" si="66"/>
        <v/>
      </c>
    </row>
    <row r="4240" spans="1:1">
      <c r="A4240" t="str">
        <f t="shared" si="66"/>
        <v/>
      </c>
    </row>
    <row r="4241" spans="1:1">
      <c r="A4241" t="str">
        <f t="shared" si="66"/>
        <v/>
      </c>
    </row>
    <row r="4242" spans="1:1">
      <c r="A4242" t="str">
        <f t="shared" si="66"/>
        <v/>
      </c>
    </row>
    <row r="4243" spans="1:1">
      <c r="A4243" t="str">
        <f t="shared" si="66"/>
        <v/>
      </c>
    </row>
    <row r="4244" spans="1:1">
      <c r="A4244" t="str">
        <f t="shared" si="66"/>
        <v/>
      </c>
    </row>
    <row r="4245" spans="1:1">
      <c r="A4245" t="str">
        <f t="shared" si="66"/>
        <v/>
      </c>
    </row>
    <row r="4246" spans="1:1">
      <c r="A4246" t="str">
        <f t="shared" si="66"/>
        <v/>
      </c>
    </row>
    <row r="4247" spans="1:1">
      <c r="A4247" t="str">
        <f t="shared" si="66"/>
        <v/>
      </c>
    </row>
    <row r="4248" spans="1:1">
      <c r="A4248" t="str">
        <f t="shared" si="66"/>
        <v/>
      </c>
    </row>
    <row r="4249" spans="1:1">
      <c r="A4249" t="str">
        <f t="shared" si="66"/>
        <v/>
      </c>
    </row>
    <row r="4250" spans="1:1">
      <c r="A4250" t="str">
        <f t="shared" si="66"/>
        <v/>
      </c>
    </row>
    <row r="4251" spans="1:1">
      <c r="A4251" t="str">
        <f t="shared" si="66"/>
        <v/>
      </c>
    </row>
    <row r="4252" spans="1:1">
      <c r="A4252" t="str">
        <f t="shared" si="66"/>
        <v/>
      </c>
    </row>
    <row r="4253" spans="1:1">
      <c r="A4253" t="str">
        <f t="shared" si="66"/>
        <v/>
      </c>
    </row>
    <row r="4254" spans="1:1">
      <c r="A4254" t="str">
        <f t="shared" si="66"/>
        <v/>
      </c>
    </row>
    <row r="4255" spans="1:1">
      <c r="A4255" t="str">
        <f t="shared" si="66"/>
        <v/>
      </c>
    </row>
    <row r="4256" spans="1:1">
      <c r="A4256" t="str">
        <f t="shared" si="66"/>
        <v/>
      </c>
    </row>
    <row r="4257" spans="1:1">
      <c r="A4257" t="str">
        <f t="shared" si="66"/>
        <v/>
      </c>
    </row>
    <row r="4258" spans="1:1">
      <c r="A4258" t="str">
        <f t="shared" si="66"/>
        <v/>
      </c>
    </row>
    <row r="4259" spans="1:1">
      <c r="A4259" t="str">
        <f t="shared" si="66"/>
        <v/>
      </c>
    </row>
    <row r="4260" spans="1:1">
      <c r="A4260" t="str">
        <f t="shared" si="66"/>
        <v/>
      </c>
    </row>
    <row r="4261" spans="1:1">
      <c r="A4261" t="str">
        <f t="shared" si="66"/>
        <v/>
      </c>
    </row>
    <row r="4262" spans="1:1">
      <c r="A4262" t="str">
        <f t="shared" si="66"/>
        <v/>
      </c>
    </row>
    <row r="4263" spans="1:1">
      <c r="A4263" t="str">
        <f t="shared" si="66"/>
        <v/>
      </c>
    </row>
    <row r="4264" spans="1:1">
      <c r="A4264" t="str">
        <f t="shared" si="66"/>
        <v/>
      </c>
    </row>
    <row r="4265" spans="1:1">
      <c r="A4265" t="str">
        <f t="shared" si="66"/>
        <v/>
      </c>
    </row>
    <row r="4266" spans="1:1">
      <c r="A4266" t="str">
        <f t="shared" si="66"/>
        <v/>
      </c>
    </row>
    <row r="4267" spans="1:1">
      <c r="A4267" t="str">
        <f t="shared" si="66"/>
        <v/>
      </c>
    </row>
    <row r="4268" spans="1:1">
      <c r="A4268" t="str">
        <f t="shared" si="66"/>
        <v/>
      </c>
    </row>
    <row r="4269" spans="1:1">
      <c r="A4269" t="str">
        <f t="shared" si="66"/>
        <v/>
      </c>
    </row>
    <row r="4270" spans="1:1">
      <c r="A4270" t="str">
        <f t="shared" si="66"/>
        <v/>
      </c>
    </row>
    <row r="4271" spans="1:1">
      <c r="A4271" t="str">
        <f t="shared" si="66"/>
        <v/>
      </c>
    </row>
    <row r="4272" spans="1:1">
      <c r="A4272" t="str">
        <f t="shared" si="66"/>
        <v/>
      </c>
    </row>
    <row r="4273" spans="1:1">
      <c r="A4273" t="str">
        <f t="shared" si="66"/>
        <v/>
      </c>
    </row>
    <row r="4274" spans="1:1">
      <c r="A4274" t="str">
        <f t="shared" si="66"/>
        <v/>
      </c>
    </row>
    <row r="4275" spans="1:1">
      <c r="A4275" t="str">
        <f t="shared" si="66"/>
        <v/>
      </c>
    </row>
    <row r="4276" spans="1:1">
      <c r="A4276" t="str">
        <f t="shared" si="66"/>
        <v/>
      </c>
    </row>
    <row r="4277" spans="1:1">
      <c r="A4277" t="str">
        <f t="shared" si="66"/>
        <v/>
      </c>
    </row>
    <row r="4278" spans="1:1">
      <c r="A4278" t="str">
        <f t="shared" si="66"/>
        <v/>
      </c>
    </row>
    <row r="4279" spans="1:1">
      <c r="A4279" t="str">
        <f t="shared" si="66"/>
        <v/>
      </c>
    </row>
    <row r="4280" spans="1:1">
      <c r="A4280" t="str">
        <f t="shared" si="66"/>
        <v/>
      </c>
    </row>
    <row r="4281" spans="1:1">
      <c r="A4281" t="str">
        <f t="shared" si="66"/>
        <v/>
      </c>
    </row>
    <row r="4282" spans="1:1">
      <c r="A4282" t="str">
        <f t="shared" si="66"/>
        <v/>
      </c>
    </row>
    <row r="4283" spans="1:1">
      <c r="A4283" t="str">
        <f t="shared" si="66"/>
        <v/>
      </c>
    </row>
    <row r="4284" spans="1:1">
      <c r="A4284" t="str">
        <f t="shared" si="66"/>
        <v/>
      </c>
    </row>
    <row r="4285" spans="1:1">
      <c r="A4285" t="str">
        <f t="shared" si="66"/>
        <v/>
      </c>
    </row>
    <row r="4286" spans="1:1">
      <c r="A4286" t="str">
        <f t="shared" si="66"/>
        <v/>
      </c>
    </row>
    <row r="4287" spans="1:1">
      <c r="A4287" t="str">
        <f t="shared" si="66"/>
        <v/>
      </c>
    </row>
    <row r="4288" spans="1:1">
      <c r="A4288" t="str">
        <f t="shared" ref="A4288:A4351" si="67">CONCATENATE(I4288, B4288)</f>
        <v/>
      </c>
    </row>
    <row r="4289" spans="1:1">
      <c r="A4289" t="str">
        <f t="shared" si="67"/>
        <v/>
      </c>
    </row>
    <row r="4290" spans="1:1">
      <c r="A4290" t="str">
        <f t="shared" si="67"/>
        <v/>
      </c>
    </row>
    <row r="4291" spans="1:1">
      <c r="A4291" t="str">
        <f t="shared" si="67"/>
        <v/>
      </c>
    </row>
    <row r="4292" spans="1:1">
      <c r="A4292" t="str">
        <f t="shared" si="67"/>
        <v/>
      </c>
    </row>
    <row r="4293" spans="1:1">
      <c r="A4293" t="str">
        <f t="shared" si="67"/>
        <v/>
      </c>
    </row>
    <row r="4294" spans="1:1">
      <c r="A4294" t="str">
        <f t="shared" si="67"/>
        <v/>
      </c>
    </row>
    <row r="4295" spans="1:1">
      <c r="A4295" t="str">
        <f t="shared" si="67"/>
        <v/>
      </c>
    </row>
    <row r="4296" spans="1:1">
      <c r="A4296" t="str">
        <f t="shared" si="67"/>
        <v/>
      </c>
    </row>
    <row r="4297" spans="1:1">
      <c r="A4297" t="str">
        <f t="shared" si="67"/>
        <v/>
      </c>
    </row>
    <row r="4298" spans="1:1">
      <c r="A4298" t="str">
        <f t="shared" si="67"/>
        <v/>
      </c>
    </row>
    <row r="4299" spans="1:1">
      <c r="A4299" t="str">
        <f t="shared" si="67"/>
        <v/>
      </c>
    </row>
    <row r="4300" spans="1:1">
      <c r="A4300" t="str">
        <f t="shared" si="67"/>
        <v/>
      </c>
    </row>
    <row r="4301" spans="1:1">
      <c r="A4301" t="str">
        <f t="shared" si="67"/>
        <v/>
      </c>
    </row>
    <row r="4302" spans="1:1">
      <c r="A4302" t="str">
        <f t="shared" si="67"/>
        <v/>
      </c>
    </row>
    <row r="4303" spans="1:1">
      <c r="A4303" t="str">
        <f t="shared" si="67"/>
        <v/>
      </c>
    </row>
    <row r="4304" spans="1:1">
      <c r="A4304" t="str">
        <f t="shared" si="67"/>
        <v/>
      </c>
    </row>
    <row r="4305" spans="1:1">
      <c r="A4305" t="str">
        <f t="shared" si="67"/>
        <v/>
      </c>
    </row>
    <row r="4306" spans="1:1">
      <c r="A4306" t="str">
        <f t="shared" si="67"/>
        <v/>
      </c>
    </row>
    <row r="4307" spans="1:1">
      <c r="A4307" t="str">
        <f t="shared" si="67"/>
        <v/>
      </c>
    </row>
    <row r="4308" spans="1:1">
      <c r="A4308" t="str">
        <f t="shared" si="67"/>
        <v/>
      </c>
    </row>
    <row r="4309" spans="1:1">
      <c r="A4309" t="str">
        <f t="shared" si="67"/>
        <v/>
      </c>
    </row>
    <row r="4310" spans="1:1">
      <c r="A4310" t="str">
        <f t="shared" si="67"/>
        <v/>
      </c>
    </row>
    <row r="4311" spans="1:1">
      <c r="A4311" t="str">
        <f t="shared" si="67"/>
        <v/>
      </c>
    </row>
    <row r="4312" spans="1:1">
      <c r="A4312" t="str">
        <f t="shared" si="67"/>
        <v/>
      </c>
    </row>
    <row r="4313" spans="1:1">
      <c r="A4313" t="str">
        <f t="shared" si="67"/>
        <v/>
      </c>
    </row>
    <row r="4314" spans="1:1">
      <c r="A4314" t="str">
        <f t="shared" si="67"/>
        <v/>
      </c>
    </row>
    <row r="4315" spans="1:1">
      <c r="A4315" t="str">
        <f t="shared" si="67"/>
        <v/>
      </c>
    </row>
    <row r="4316" spans="1:1">
      <c r="A4316" t="str">
        <f t="shared" si="67"/>
        <v/>
      </c>
    </row>
    <row r="4317" spans="1:1">
      <c r="A4317" t="str">
        <f t="shared" si="67"/>
        <v/>
      </c>
    </row>
    <row r="4318" spans="1:1">
      <c r="A4318" t="str">
        <f t="shared" si="67"/>
        <v/>
      </c>
    </row>
    <row r="4319" spans="1:1">
      <c r="A4319" t="str">
        <f t="shared" si="67"/>
        <v/>
      </c>
    </row>
    <row r="4320" spans="1:1">
      <c r="A4320" t="str">
        <f t="shared" si="67"/>
        <v/>
      </c>
    </row>
    <row r="4321" spans="1:1">
      <c r="A4321" t="str">
        <f t="shared" si="67"/>
        <v/>
      </c>
    </row>
    <row r="4322" spans="1:1">
      <c r="A4322" t="str">
        <f t="shared" si="67"/>
        <v/>
      </c>
    </row>
    <row r="4323" spans="1:1">
      <c r="A4323" t="str">
        <f t="shared" si="67"/>
        <v/>
      </c>
    </row>
    <row r="4324" spans="1:1">
      <c r="A4324" t="str">
        <f t="shared" si="67"/>
        <v/>
      </c>
    </row>
    <row r="4325" spans="1:1">
      <c r="A4325" t="str">
        <f t="shared" si="67"/>
        <v/>
      </c>
    </row>
    <row r="4326" spans="1:1">
      <c r="A4326" t="str">
        <f t="shared" si="67"/>
        <v/>
      </c>
    </row>
    <row r="4327" spans="1:1">
      <c r="A4327" t="str">
        <f t="shared" si="67"/>
        <v/>
      </c>
    </row>
    <row r="4328" spans="1:1">
      <c r="A4328" t="str">
        <f t="shared" si="67"/>
        <v/>
      </c>
    </row>
    <row r="4329" spans="1:1">
      <c r="A4329" t="str">
        <f t="shared" si="67"/>
        <v/>
      </c>
    </row>
    <row r="4330" spans="1:1">
      <c r="A4330" t="str">
        <f t="shared" si="67"/>
        <v/>
      </c>
    </row>
    <row r="4331" spans="1:1">
      <c r="A4331" t="str">
        <f t="shared" si="67"/>
        <v/>
      </c>
    </row>
    <row r="4332" spans="1:1">
      <c r="A4332" t="str">
        <f t="shared" si="67"/>
        <v/>
      </c>
    </row>
    <row r="4333" spans="1:1">
      <c r="A4333" t="str">
        <f t="shared" si="67"/>
        <v/>
      </c>
    </row>
    <row r="4334" spans="1:1">
      <c r="A4334" t="str">
        <f t="shared" si="67"/>
        <v/>
      </c>
    </row>
    <row r="4335" spans="1:1">
      <c r="A4335" t="str">
        <f t="shared" si="67"/>
        <v/>
      </c>
    </row>
    <row r="4336" spans="1:1">
      <c r="A4336" t="str">
        <f t="shared" si="67"/>
        <v/>
      </c>
    </row>
    <row r="4337" spans="1:1">
      <c r="A4337" t="str">
        <f t="shared" si="67"/>
        <v/>
      </c>
    </row>
    <row r="4338" spans="1:1">
      <c r="A4338" t="str">
        <f t="shared" si="67"/>
        <v/>
      </c>
    </row>
    <row r="4339" spans="1:1">
      <c r="A4339" t="str">
        <f t="shared" si="67"/>
        <v/>
      </c>
    </row>
    <row r="4340" spans="1:1">
      <c r="A4340" t="str">
        <f t="shared" si="67"/>
        <v/>
      </c>
    </row>
    <row r="4341" spans="1:1">
      <c r="A4341" t="str">
        <f t="shared" si="67"/>
        <v/>
      </c>
    </row>
    <row r="4342" spans="1:1">
      <c r="A4342" t="str">
        <f t="shared" si="67"/>
        <v/>
      </c>
    </row>
    <row r="4343" spans="1:1">
      <c r="A4343" t="str">
        <f t="shared" si="67"/>
        <v/>
      </c>
    </row>
    <row r="4344" spans="1:1">
      <c r="A4344" t="str">
        <f t="shared" si="67"/>
        <v/>
      </c>
    </row>
    <row r="4345" spans="1:1">
      <c r="A4345" t="str">
        <f t="shared" si="67"/>
        <v/>
      </c>
    </row>
    <row r="4346" spans="1:1">
      <c r="A4346" t="str">
        <f t="shared" si="67"/>
        <v/>
      </c>
    </row>
    <row r="4347" spans="1:1">
      <c r="A4347" t="str">
        <f t="shared" si="67"/>
        <v/>
      </c>
    </row>
    <row r="4348" spans="1:1">
      <c r="A4348" t="str">
        <f t="shared" si="67"/>
        <v/>
      </c>
    </row>
    <row r="4349" spans="1:1">
      <c r="A4349" t="str">
        <f t="shared" si="67"/>
        <v/>
      </c>
    </row>
    <row r="4350" spans="1:1">
      <c r="A4350" t="str">
        <f t="shared" si="67"/>
        <v/>
      </c>
    </row>
    <row r="4351" spans="1:1">
      <c r="A4351" t="str">
        <f t="shared" si="67"/>
        <v/>
      </c>
    </row>
    <row r="4352" spans="1:1">
      <c r="A4352" t="str">
        <f t="shared" ref="A4352:A4415" si="68">CONCATENATE(I4352, B4352)</f>
        <v/>
      </c>
    </row>
    <row r="4353" spans="1:1">
      <c r="A4353" t="str">
        <f t="shared" si="68"/>
        <v/>
      </c>
    </row>
    <row r="4354" spans="1:1">
      <c r="A4354" t="str">
        <f t="shared" si="68"/>
        <v/>
      </c>
    </row>
    <row r="4355" spans="1:1">
      <c r="A4355" t="str">
        <f t="shared" si="68"/>
        <v/>
      </c>
    </row>
    <row r="4356" spans="1:1">
      <c r="A4356" t="str">
        <f t="shared" si="68"/>
        <v/>
      </c>
    </row>
    <row r="4357" spans="1:1">
      <c r="A4357" t="str">
        <f t="shared" si="68"/>
        <v/>
      </c>
    </row>
    <row r="4358" spans="1:1">
      <c r="A4358" t="str">
        <f t="shared" si="68"/>
        <v/>
      </c>
    </row>
    <row r="4359" spans="1:1">
      <c r="A4359" t="str">
        <f t="shared" si="68"/>
        <v/>
      </c>
    </row>
    <row r="4360" spans="1:1">
      <c r="A4360" t="str">
        <f t="shared" si="68"/>
        <v/>
      </c>
    </row>
    <row r="4361" spans="1:1">
      <c r="A4361" t="str">
        <f t="shared" si="68"/>
        <v/>
      </c>
    </row>
    <row r="4362" spans="1:1">
      <c r="A4362" t="str">
        <f t="shared" si="68"/>
        <v/>
      </c>
    </row>
    <row r="4363" spans="1:1">
      <c r="A4363" t="str">
        <f t="shared" si="68"/>
        <v/>
      </c>
    </row>
    <row r="4364" spans="1:1">
      <c r="A4364" t="str">
        <f t="shared" si="68"/>
        <v/>
      </c>
    </row>
    <row r="4365" spans="1:1">
      <c r="A4365" t="str">
        <f t="shared" si="68"/>
        <v/>
      </c>
    </row>
    <row r="4366" spans="1:1">
      <c r="A4366" t="str">
        <f t="shared" si="68"/>
        <v/>
      </c>
    </row>
    <row r="4367" spans="1:1">
      <c r="A4367" t="str">
        <f t="shared" si="68"/>
        <v/>
      </c>
    </row>
    <row r="4368" spans="1:1">
      <c r="A4368" t="str">
        <f t="shared" si="68"/>
        <v/>
      </c>
    </row>
    <row r="4369" spans="1:1">
      <c r="A4369" t="str">
        <f t="shared" si="68"/>
        <v/>
      </c>
    </row>
    <row r="4370" spans="1:1">
      <c r="A4370" t="str">
        <f t="shared" si="68"/>
        <v/>
      </c>
    </row>
    <row r="4371" spans="1:1">
      <c r="A4371" t="str">
        <f t="shared" si="68"/>
        <v/>
      </c>
    </row>
    <row r="4372" spans="1:1">
      <c r="A4372" t="str">
        <f t="shared" si="68"/>
        <v/>
      </c>
    </row>
    <row r="4373" spans="1:1">
      <c r="A4373" t="str">
        <f t="shared" si="68"/>
        <v/>
      </c>
    </row>
    <row r="4374" spans="1:1">
      <c r="A4374" t="str">
        <f t="shared" si="68"/>
        <v/>
      </c>
    </row>
    <row r="4375" spans="1:1">
      <c r="A4375" t="str">
        <f t="shared" si="68"/>
        <v/>
      </c>
    </row>
    <row r="4376" spans="1:1">
      <c r="A4376" t="str">
        <f t="shared" si="68"/>
        <v/>
      </c>
    </row>
    <row r="4377" spans="1:1">
      <c r="A4377" t="str">
        <f t="shared" si="68"/>
        <v/>
      </c>
    </row>
    <row r="4378" spans="1:1">
      <c r="A4378" t="str">
        <f t="shared" si="68"/>
        <v/>
      </c>
    </row>
    <row r="4379" spans="1:1">
      <c r="A4379" t="str">
        <f t="shared" si="68"/>
        <v/>
      </c>
    </row>
    <row r="4380" spans="1:1">
      <c r="A4380" t="str">
        <f t="shared" si="68"/>
        <v/>
      </c>
    </row>
    <row r="4381" spans="1:1">
      <c r="A4381" t="str">
        <f t="shared" si="68"/>
        <v/>
      </c>
    </row>
    <row r="4382" spans="1:1">
      <c r="A4382" t="str">
        <f t="shared" si="68"/>
        <v/>
      </c>
    </row>
    <row r="4383" spans="1:1">
      <c r="A4383" t="str">
        <f t="shared" si="68"/>
        <v/>
      </c>
    </row>
    <row r="4384" spans="1:1">
      <c r="A4384" t="str">
        <f t="shared" si="68"/>
        <v/>
      </c>
    </row>
    <row r="4385" spans="1:1">
      <c r="A4385" t="str">
        <f t="shared" si="68"/>
        <v/>
      </c>
    </row>
    <row r="4386" spans="1:1">
      <c r="A4386" t="str">
        <f t="shared" si="68"/>
        <v/>
      </c>
    </row>
    <row r="4387" spans="1:1">
      <c r="A4387" t="str">
        <f t="shared" si="68"/>
        <v/>
      </c>
    </row>
    <row r="4388" spans="1:1">
      <c r="A4388" t="str">
        <f t="shared" si="68"/>
        <v/>
      </c>
    </row>
    <row r="4389" spans="1:1">
      <c r="A4389" t="str">
        <f t="shared" si="68"/>
        <v/>
      </c>
    </row>
    <row r="4390" spans="1:1">
      <c r="A4390" t="str">
        <f t="shared" si="68"/>
        <v/>
      </c>
    </row>
    <row r="4391" spans="1:1">
      <c r="A4391" t="str">
        <f t="shared" si="68"/>
        <v/>
      </c>
    </row>
    <row r="4392" spans="1:1">
      <c r="A4392" t="str">
        <f t="shared" si="68"/>
        <v/>
      </c>
    </row>
    <row r="4393" spans="1:1">
      <c r="A4393" t="str">
        <f t="shared" si="68"/>
        <v/>
      </c>
    </row>
    <row r="4394" spans="1:1">
      <c r="A4394" t="str">
        <f t="shared" si="68"/>
        <v/>
      </c>
    </row>
    <row r="4395" spans="1:1">
      <c r="A4395" t="str">
        <f t="shared" si="68"/>
        <v/>
      </c>
    </row>
    <row r="4396" spans="1:1">
      <c r="A4396" t="str">
        <f t="shared" si="68"/>
        <v/>
      </c>
    </row>
    <row r="4397" spans="1:1">
      <c r="A4397" t="str">
        <f t="shared" si="68"/>
        <v/>
      </c>
    </row>
    <row r="4398" spans="1:1">
      <c r="A4398" t="str">
        <f t="shared" si="68"/>
        <v/>
      </c>
    </row>
    <row r="4399" spans="1:1">
      <c r="A4399" t="str">
        <f t="shared" si="68"/>
        <v/>
      </c>
    </row>
    <row r="4400" spans="1:1">
      <c r="A4400" t="str">
        <f t="shared" si="68"/>
        <v/>
      </c>
    </row>
    <row r="4401" spans="1:1">
      <c r="A4401" t="str">
        <f t="shared" si="68"/>
        <v/>
      </c>
    </row>
    <row r="4402" spans="1:1">
      <c r="A4402" t="str">
        <f t="shared" si="68"/>
        <v/>
      </c>
    </row>
    <row r="4403" spans="1:1">
      <c r="A4403" t="str">
        <f t="shared" si="68"/>
        <v/>
      </c>
    </row>
    <row r="4404" spans="1:1">
      <c r="A4404" t="str">
        <f t="shared" si="68"/>
        <v/>
      </c>
    </row>
    <row r="4405" spans="1:1">
      <c r="A4405" t="str">
        <f t="shared" si="68"/>
        <v/>
      </c>
    </row>
    <row r="4406" spans="1:1">
      <c r="A4406" t="str">
        <f t="shared" si="68"/>
        <v/>
      </c>
    </row>
    <row r="4407" spans="1:1">
      <c r="A4407" t="str">
        <f t="shared" si="68"/>
        <v/>
      </c>
    </row>
    <row r="4408" spans="1:1">
      <c r="A4408" t="str">
        <f t="shared" si="68"/>
        <v/>
      </c>
    </row>
    <row r="4409" spans="1:1">
      <c r="A4409" t="str">
        <f t="shared" si="68"/>
        <v/>
      </c>
    </row>
    <row r="4410" spans="1:1">
      <c r="A4410" t="str">
        <f t="shared" si="68"/>
        <v/>
      </c>
    </row>
    <row r="4411" spans="1:1">
      <c r="A4411" t="str">
        <f t="shared" si="68"/>
        <v/>
      </c>
    </row>
    <row r="4412" spans="1:1">
      <c r="A4412" t="str">
        <f t="shared" si="68"/>
        <v/>
      </c>
    </row>
    <row r="4413" spans="1:1">
      <c r="A4413" t="str">
        <f t="shared" si="68"/>
        <v/>
      </c>
    </row>
    <row r="4414" spans="1:1">
      <c r="A4414" t="str">
        <f t="shared" si="68"/>
        <v/>
      </c>
    </row>
    <row r="4415" spans="1:1">
      <c r="A4415" t="str">
        <f t="shared" si="68"/>
        <v/>
      </c>
    </row>
    <row r="4416" spans="1:1">
      <c r="A4416" t="str">
        <f t="shared" ref="A4416:A4479" si="69">CONCATENATE(I4416, B4416)</f>
        <v/>
      </c>
    </row>
    <row r="4417" spans="1:1">
      <c r="A4417" t="str">
        <f t="shared" si="69"/>
        <v/>
      </c>
    </row>
    <row r="4418" spans="1:1">
      <c r="A4418" t="str">
        <f t="shared" si="69"/>
        <v/>
      </c>
    </row>
    <row r="4419" spans="1:1">
      <c r="A4419" t="str">
        <f t="shared" si="69"/>
        <v/>
      </c>
    </row>
    <row r="4420" spans="1:1">
      <c r="A4420" t="str">
        <f t="shared" si="69"/>
        <v/>
      </c>
    </row>
    <row r="4421" spans="1:1">
      <c r="A4421" t="str">
        <f t="shared" si="69"/>
        <v/>
      </c>
    </row>
    <row r="4422" spans="1:1">
      <c r="A4422" t="str">
        <f t="shared" si="69"/>
        <v/>
      </c>
    </row>
    <row r="4423" spans="1:1">
      <c r="A4423" t="str">
        <f t="shared" si="69"/>
        <v/>
      </c>
    </row>
    <row r="4424" spans="1:1">
      <c r="A4424" t="str">
        <f t="shared" si="69"/>
        <v/>
      </c>
    </row>
    <row r="4425" spans="1:1">
      <c r="A4425" t="str">
        <f t="shared" si="69"/>
        <v/>
      </c>
    </row>
    <row r="4426" spans="1:1">
      <c r="A4426" t="str">
        <f t="shared" si="69"/>
        <v/>
      </c>
    </row>
    <row r="4427" spans="1:1">
      <c r="A4427" t="str">
        <f t="shared" si="69"/>
        <v/>
      </c>
    </row>
    <row r="4428" spans="1:1">
      <c r="A4428" t="str">
        <f t="shared" si="69"/>
        <v/>
      </c>
    </row>
    <row r="4429" spans="1:1">
      <c r="A4429" t="str">
        <f t="shared" si="69"/>
        <v/>
      </c>
    </row>
    <row r="4430" spans="1:1">
      <c r="A4430" t="str">
        <f t="shared" si="69"/>
        <v/>
      </c>
    </row>
    <row r="4431" spans="1:1">
      <c r="A4431" t="str">
        <f t="shared" si="69"/>
        <v/>
      </c>
    </row>
    <row r="4432" spans="1:1">
      <c r="A4432" t="str">
        <f t="shared" si="69"/>
        <v/>
      </c>
    </row>
    <row r="4433" spans="1:1">
      <c r="A4433" t="str">
        <f t="shared" si="69"/>
        <v/>
      </c>
    </row>
    <row r="4434" spans="1:1">
      <c r="A4434" t="str">
        <f t="shared" si="69"/>
        <v/>
      </c>
    </row>
    <row r="4435" spans="1:1">
      <c r="A4435" t="str">
        <f t="shared" si="69"/>
        <v/>
      </c>
    </row>
    <row r="4436" spans="1:1">
      <c r="A4436" t="str">
        <f t="shared" si="69"/>
        <v/>
      </c>
    </row>
    <row r="4437" spans="1:1">
      <c r="A4437" t="str">
        <f t="shared" si="69"/>
        <v/>
      </c>
    </row>
    <row r="4438" spans="1:1">
      <c r="A4438" t="str">
        <f t="shared" si="69"/>
        <v/>
      </c>
    </row>
    <row r="4439" spans="1:1">
      <c r="A4439" t="str">
        <f t="shared" si="69"/>
        <v/>
      </c>
    </row>
    <row r="4440" spans="1:1">
      <c r="A4440" t="str">
        <f t="shared" si="69"/>
        <v/>
      </c>
    </row>
    <row r="4441" spans="1:1">
      <c r="A4441" t="str">
        <f t="shared" si="69"/>
        <v/>
      </c>
    </row>
    <row r="4442" spans="1:1">
      <c r="A4442" t="str">
        <f t="shared" si="69"/>
        <v/>
      </c>
    </row>
    <row r="4443" spans="1:1">
      <c r="A4443" t="str">
        <f t="shared" si="69"/>
        <v/>
      </c>
    </row>
    <row r="4444" spans="1:1">
      <c r="A4444" t="str">
        <f t="shared" si="69"/>
        <v/>
      </c>
    </row>
    <row r="4445" spans="1:1">
      <c r="A4445" t="str">
        <f t="shared" si="69"/>
        <v/>
      </c>
    </row>
    <row r="4446" spans="1:1">
      <c r="A4446" t="str">
        <f t="shared" si="69"/>
        <v/>
      </c>
    </row>
    <row r="4447" spans="1:1">
      <c r="A4447" t="str">
        <f t="shared" si="69"/>
        <v/>
      </c>
    </row>
    <row r="4448" spans="1:1">
      <c r="A4448" t="str">
        <f t="shared" si="69"/>
        <v/>
      </c>
    </row>
    <row r="4449" spans="1:1">
      <c r="A4449" t="str">
        <f t="shared" si="69"/>
        <v/>
      </c>
    </row>
    <row r="4450" spans="1:1">
      <c r="A4450" t="str">
        <f t="shared" si="69"/>
        <v/>
      </c>
    </row>
    <row r="4451" spans="1:1">
      <c r="A4451" t="str">
        <f t="shared" si="69"/>
        <v/>
      </c>
    </row>
    <row r="4452" spans="1:1">
      <c r="A4452" t="str">
        <f t="shared" si="69"/>
        <v/>
      </c>
    </row>
    <row r="4453" spans="1:1">
      <c r="A4453" t="str">
        <f t="shared" si="69"/>
        <v/>
      </c>
    </row>
    <row r="4454" spans="1:1">
      <c r="A4454" t="str">
        <f t="shared" si="69"/>
        <v/>
      </c>
    </row>
    <row r="4455" spans="1:1">
      <c r="A4455" t="str">
        <f t="shared" si="69"/>
        <v/>
      </c>
    </row>
    <row r="4456" spans="1:1">
      <c r="A4456" t="str">
        <f t="shared" si="69"/>
        <v/>
      </c>
    </row>
    <row r="4457" spans="1:1">
      <c r="A4457" t="str">
        <f t="shared" si="69"/>
        <v/>
      </c>
    </row>
    <row r="4458" spans="1:1">
      <c r="A4458" t="str">
        <f t="shared" si="69"/>
        <v/>
      </c>
    </row>
    <row r="4459" spans="1:1">
      <c r="A4459" t="str">
        <f t="shared" si="69"/>
        <v/>
      </c>
    </row>
    <row r="4460" spans="1:1">
      <c r="A4460" t="str">
        <f t="shared" si="69"/>
        <v/>
      </c>
    </row>
    <row r="4461" spans="1:1">
      <c r="A4461" t="str">
        <f t="shared" si="69"/>
        <v/>
      </c>
    </row>
    <row r="4462" spans="1:1">
      <c r="A4462" t="str">
        <f t="shared" si="69"/>
        <v/>
      </c>
    </row>
    <row r="4463" spans="1:1">
      <c r="A4463" t="str">
        <f t="shared" si="69"/>
        <v/>
      </c>
    </row>
    <row r="4464" spans="1:1">
      <c r="A4464" t="str">
        <f t="shared" si="69"/>
        <v/>
      </c>
    </row>
    <row r="4465" spans="1:1">
      <c r="A4465" t="str">
        <f t="shared" si="69"/>
        <v/>
      </c>
    </row>
    <row r="4466" spans="1:1">
      <c r="A4466" t="str">
        <f t="shared" si="69"/>
        <v/>
      </c>
    </row>
    <row r="4467" spans="1:1">
      <c r="A4467" t="str">
        <f t="shared" si="69"/>
        <v/>
      </c>
    </row>
    <row r="4468" spans="1:1">
      <c r="A4468" t="str">
        <f t="shared" si="69"/>
        <v/>
      </c>
    </row>
    <row r="4469" spans="1:1">
      <c r="A4469" t="str">
        <f t="shared" si="69"/>
        <v/>
      </c>
    </row>
    <row r="4470" spans="1:1">
      <c r="A4470" t="str">
        <f t="shared" si="69"/>
        <v/>
      </c>
    </row>
    <row r="4471" spans="1:1">
      <c r="A4471" t="str">
        <f t="shared" si="69"/>
        <v/>
      </c>
    </row>
    <row r="4472" spans="1:1">
      <c r="A4472" t="str">
        <f t="shared" si="69"/>
        <v/>
      </c>
    </row>
    <row r="4473" spans="1:1">
      <c r="A4473" t="str">
        <f t="shared" si="69"/>
        <v/>
      </c>
    </row>
    <row r="4474" spans="1:1">
      <c r="A4474" t="str">
        <f t="shared" si="69"/>
        <v/>
      </c>
    </row>
    <row r="4475" spans="1:1">
      <c r="A4475" t="str">
        <f t="shared" si="69"/>
        <v/>
      </c>
    </row>
    <row r="4476" spans="1:1">
      <c r="A4476" t="str">
        <f t="shared" si="69"/>
        <v/>
      </c>
    </row>
    <row r="4477" spans="1:1">
      <c r="A4477" t="str">
        <f t="shared" si="69"/>
        <v/>
      </c>
    </row>
    <row r="4478" spans="1:1">
      <c r="A4478" t="str">
        <f t="shared" si="69"/>
        <v/>
      </c>
    </row>
    <row r="4479" spans="1:1">
      <c r="A4479" t="str">
        <f t="shared" si="69"/>
        <v/>
      </c>
    </row>
    <row r="4480" spans="1:1">
      <c r="A4480" t="str">
        <f t="shared" ref="A4480:A4543" si="70">CONCATENATE(I4480, B4480)</f>
        <v/>
      </c>
    </row>
    <row r="4481" spans="1:1">
      <c r="A4481" t="str">
        <f t="shared" si="70"/>
        <v/>
      </c>
    </row>
    <row r="4482" spans="1:1">
      <c r="A4482" t="str">
        <f t="shared" si="70"/>
        <v/>
      </c>
    </row>
    <row r="4483" spans="1:1">
      <c r="A4483" t="str">
        <f t="shared" si="70"/>
        <v/>
      </c>
    </row>
    <row r="4484" spans="1:1">
      <c r="A4484" t="str">
        <f t="shared" si="70"/>
        <v/>
      </c>
    </row>
    <row r="4485" spans="1:1">
      <c r="A4485" t="str">
        <f t="shared" si="70"/>
        <v/>
      </c>
    </row>
    <row r="4486" spans="1:1">
      <c r="A4486" t="str">
        <f t="shared" si="70"/>
        <v/>
      </c>
    </row>
    <row r="4487" spans="1:1">
      <c r="A4487" t="str">
        <f t="shared" si="70"/>
        <v/>
      </c>
    </row>
    <row r="4488" spans="1:1">
      <c r="A4488" t="str">
        <f t="shared" si="70"/>
        <v/>
      </c>
    </row>
    <row r="4489" spans="1:1">
      <c r="A4489" t="str">
        <f t="shared" si="70"/>
        <v/>
      </c>
    </row>
    <row r="4490" spans="1:1">
      <c r="A4490" t="str">
        <f t="shared" si="70"/>
        <v/>
      </c>
    </row>
    <row r="4491" spans="1:1">
      <c r="A4491" t="str">
        <f t="shared" si="70"/>
        <v/>
      </c>
    </row>
    <row r="4492" spans="1:1">
      <c r="A4492" t="str">
        <f t="shared" si="70"/>
        <v/>
      </c>
    </row>
    <row r="4493" spans="1:1">
      <c r="A4493" t="str">
        <f t="shared" si="70"/>
        <v/>
      </c>
    </row>
    <row r="4494" spans="1:1">
      <c r="A4494" t="str">
        <f t="shared" si="70"/>
        <v/>
      </c>
    </row>
    <row r="4495" spans="1:1">
      <c r="A4495" t="str">
        <f t="shared" si="70"/>
        <v/>
      </c>
    </row>
    <row r="4496" spans="1:1">
      <c r="A4496" t="str">
        <f t="shared" si="70"/>
        <v/>
      </c>
    </row>
    <row r="4497" spans="1:1">
      <c r="A4497" t="str">
        <f t="shared" si="70"/>
        <v/>
      </c>
    </row>
    <row r="4498" spans="1:1">
      <c r="A4498" t="str">
        <f t="shared" si="70"/>
        <v/>
      </c>
    </row>
    <row r="4499" spans="1:1">
      <c r="A4499" t="str">
        <f t="shared" si="70"/>
        <v/>
      </c>
    </row>
    <row r="4500" spans="1:1">
      <c r="A4500" t="str">
        <f t="shared" si="70"/>
        <v/>
      </c>
    </row>
    <row r="4501" spans="1:1">
      <c r="A4501" t="str">
        <f t="shared" si="70"/>
        <v/>
      </c>
    </row>
    <row r="4502" spans="1:1">
      <c r="A4502" t="str">
        <f t="shared" si="70"/>
        <v/>
      </c>
    </row>
    <row r="4503" spans="1:1">
      <c r="A4503" t="str">
        <f t="shared" si="70"/>
        <v/>
      </c>
    </row>
    <row r="4504" spans="1:1">
      <c r="A4504" t="str">
        <f t="shared" si="70"/>
        <v/>
      </c>
    </row>
    <row r="4505" spans="1:1">
      <c r="A4505" t="str">
        <f t="shared" si="70"/>
        <v/>
      </c>
    </row>
    <row r="4506" spans="1:1">
      <c r="A4506" t="str">
        <f t="shared" si="70"/>
        <v/>
      </c>
    </row>
    <row r="4507" spans="1:1">
      <c r="A4507" t="str">
        <f t="shared" si="70"/>
        <v/>
      </c>
    </row>
    <row r="4508" spans="1:1">
      <c r="A4508" t="str">
        <f t="shared" si="70"/>
        <v/>
      </c>
    </row>
    <row r="4509" spans="1:1">
      <c r="A4509" t="str">
        <f t="shared" si="70"/>
        <v/>
      </c>
    </row>
    <row r="4510" spans="1:1">
      <c r="A4510" t="str">
        <f t="shared" si="70"/>
        <v/>
      </c>
    </row>
    <row r="4511" spans="1:1">
      <c r="A4511" t="str">
        <f t="shared" si="70"/>
        <v/>
      </c>
    </row>
    <row r="4512" spans="1:1">
      <c r="A4512" t="str">
        <f t="shared" si="70"/>
        <v/>
      </c>
    </row>
    <row r="4513" spans="1:1">
      <c r="A4513" t="str">
        <f t="shared" si="70"/>
        <v/>
      </c>
    </row>
    <row r="4514" spans="1:1">
      <c r="A4514" t="str">
        <f t="shared" si="70"/>
        <v/>
      </c>
    </row>
    <row r="4515" spans="1:1">
      <c r="A4515" t="str">
        <f t="shared" si="70"/>
        <v/>
      </c>
    </row>
    <row r="4516" spans="1:1">
      <c r="A4516" t="str">
        <f t="shared" si="70"/>
        <v/>
      </c>
    </row>
    <row r="4517" spans="1:1">
      <c r="A4517" t="str">
        <f t="shared" si="70"/>
        <v/>
      </c>
    </row>
    <row r="4518" spans="1:1">
      <c r="A4518" t="str">
        <f t="shared" si="70"/>
        <v/>
      </c>
    </row>
    <row r="4519" spans="1:1">
      <c r="A4519" t="str">
        <f t="shared" si="70"/>
        <v/>
      </c>
    </row>
    <row r="4520" spans="1:1">
      <c r="A4520" t="str">
        <f t="shared" si="70"/>
        <v/>
      </c>
    </row>
    <row r="4521" spans="1:1">
      <c r="A4521" t="str">
        <f t="shared" si="70"/>
        <v/>
      </c>
    </row>
    <row r="4522" spans="1:1">
      <c r="A4522" t="str">
        <f t="shared" si="70"/>
        <v/>
      </c>
    </row>
    <row r="4523" spans="1:1">
      <c r="A4523" t="str">
        <f t="shared" si="70"/>
        <v/>
      </c>
    </row>
    <row r="4524" spans="1:1">
      <c r="A4524" t="str">
        <f t="shared" si="70"/>
        <v/>
      </c>
    </row>
    <row r="4525" spans="1:1">
      <c r="A4525" t="str">
        <f t="shared" si="70"/>
        <v/>
      </c>
    </row>
    <row r="4526" spans="1:1">
      <c r="A4526" t="str">
        <f t="shared" si="70"/>
        <v/>
      </c>
    </row>
    <row r="4527" spans="1:1">
      <c r="A4527" t="str">
        <f t="shared" si="70"/>
        <v/>
      </c>
    </row>
    <row r="4528" spans="1:1">
      <c r="A4528" t="str">
        <f t="shared" si="70"/>
        <v/>
      </c>
    </row>
    <row r="4529" spans="1:1">
      <c r="A4529" t="str">
        <f t="shared" si="70"/>
        <v/>
      </c>
    </row>
    <row r="4530" spans="1:1">
      <c r="A4530" t="str">
        <f t="shared" si="70"/>
        <v/>
      </c>
    </row>
    <row r="4531" spans="1:1">
      <c r="A4531" t="str">
        <f t="shared" si="70"/>
        <v/>
      </c>
    </row>
    <row r="4532" spans="1:1">
      <c r="A4532" t="str">
        <f t="shared" si="70"/>
        <v/>
      </c>
    </row>
    <row r="4533" spans="1:1">
      <c r="A4533" t="str">
        <f t="shared" si="70"/>
        <v/>
      </c>
    </row>
    <row r="4534" spans="1:1">
      <c r="A4534" t="str">
        <f t="shared" si="70"/>
        <v/>
      </c>
    </row>
    <row r="4535" spans="1:1">
      <c r="A4535" t="str">
        <f t="shared" si="70"/>
        <v/>
      </c>
    </row>
    <row r="4536" spans="1:1">
      <c r="A4536" t="str">
        <f t="shared" si="70"/>
        <v/>
      </c>
    </row>
    <row r="4537" spans="1:1">
      <c r="A4537" t="str">
        <f t="shared" si="70"/>
        <v/>
      </c>
    </row>
    <row r="4538" spans="1:1">
      <c r="A4538" t="str">
        <f t="shared" si="70"/>
        <v/>
      </c>
    </row>
    <row r="4539" spans="1:1">
      <c r="A4539" t="str">
        <f t="shared" si="70"/>
        <v/>
      </c>
    </row>
    <row r="4540" spans="1:1">
      <c r="A4540" t="str">
        <f t="shared" si="70"/>
        <v/>
      </c>
    </row>
    <row r="4541" spans="1:1">
      <c r="A4541" t="str">
        <f t="shared" si="70"/>
        <v/>
      </c>
    </row>
    <row r="4542" spans="1:1">
      <c r="A4542" t="str">
        <f t="shared" si="70"/>
        <v/>
      </c>
    </row>
    <row r="4543" spans="1:1">
      <c r="A4543" t="str">
        <f t="shared" si="70"/>
        <v/>
      </c>
    </row>
    <row r="4544" spans="1:1">
      <c r="A4544" t="str">
        <f t="shared" ref="A4544:A4607" si="71">CONCATENATE(I4544, B4544)</f>
        <v/>
      </c>
    </row>
    <row r="4545" spans="1:1">
      <c r="A4545" t="str">
        <f t="shared" si="71"/>
        <v/>
      </c>
    </row>
    <row r="4546" spans="1:1">
      <c r="A4546" t="str">
        <f t="shared" si="71"/>
        <v/>
      </c>
    </row>
    <row r="4547" spans="1:1">
      <c r="A4547" t="str">
        <f t="shared" si="71"/>
        <v/>
      </c>
    </row>
    <row r="4548" spans="1:1">
      <c r="A4548" t="str">
        <f t="shared" si="71"/>
        <v/>
      </c>
    </row>
    <row r="4549" spans="1:1">
      <c r="A4549" t="str">
        <f t="shared" si="71"/>
        <v/>
      </c>
    </row>
    <row r="4550" spans="1:1">
      <c r="A4550" t="str">
        <f t="shared" si="71"/>
        <v/>
      </c>
    </row>
    <row r="4551" spans="1:1">
      <c r="A4551" t="str">
        <f t="shared" si="71"/>
        <v/>
      </c>
    </row>
    <row r="4552" spans="1:1">
      <c r="A4552" t="str">
        <f t="shared" si="71"/>
        <v/>
      </c>
    </row>
    <row r="4553" spans="1:1">
      <c r="A4553" t="str">
        <f t="shared" si="71"/>
        <v/>
      </c>
    </row>
    <row r="4554" spans="1:1">
      <c r="A4554" t="str">
        <f t="shared" si="71"/>
        <v/>
      </c>
    </row>
    <row r="4555" spans="1:1">
      <c r="A4555" t="str">
        <f t="shared" si="71"/>
        <v/>
      </c>
    </row>
    <row r="4556" spans="1:1">
      <c r="A4556" t="str">
        <f t="shared" si="71"/>
        <v/>
      </c>
    </row>
    <row r="4557" spans="1:1">
      <c r="A4557" t="str">
        <f t="shared" si="71"/>
        <v/>
      </c>
    </row>
    <row r="4558" spans="1:1">
      <c r="A4558" t="str">
        <f t="shared" si="71"/>
        <v/>
      </c>
    </row>
    <row r="4559" spans="1:1">
      <c r="A4559" t="str">
        <f t="shared" si="71"/>
        <v/>
      </c>
    </row>
    <row r="4560" spans="1:1">
      <c r="A4560" t="str">
        <f t="shared" si="71"/>
        <v/>
      </c>
    </row>
    <row r="4561" spans="1:1">
      <c r="A4561" t="str">
        <f t="shared" si="71"/>
        <v/>
      </c>
    </row>
    <row r="4562" spans="1:1">
      <c r="A4562" t="str">
        <f t="shared" si="71"/>
        <v/>
      </c>
    </row>
    <row r="4563" spans="1:1">
      <c r="A4563" t="str">
        <f t="shared" si="71"/>
        <v/>
      </c>
    </row>
    <row r="4564" spans="1:1">
      <c r="A4564" t="str">
        <f t="shared" si="71"/>
        <v/>
      </c>
    </row>
    <row r="4565" spans="1:1">
      <c r="A4565" t="str">
        <f t="shared" si="71"/>
        <v/>
      </c>
    </row>
    <row r="4566" spans="1:1">
      <c r="A4566" t="str">
        <f t="shared" si="71"/>
        <v/>
      </c>
    </row>
    <row r="4567" spans="1:1">
      <c r="A4567" t="str">
        <f t="shared" si="71"/>
        <v/>
      </c>
    </row>
    <row r="4568" spans="1:1">
      <c r="A4568" t="str">
        <f t="shared" si="71"/>
        <v/>
      </c>
    </row>
    <row r="4569" spans="1:1">
      <c r="A4569" t="str">
        <f t="shared" si="71"/>
        <v/>
      </c>
    </row>
    <row r="4570" spans="1:1">
      <c r="A4570" t="str">
        <f t="shared" si="71"/>
        <v/>
      </c>
    </row>
    <row r="4571" spans="1:1">
      <c r="A4571" t="str">
        <f t="shared" si="71"/>
        <v/>
      </c>
    </row>
    <row r="4572" spans="1:1">
      <c r="A4572" t="str">
        <f t="shared" si="71"/>
        <v/>
      </c>
    </row>
    <row r="4573" spans="1:1">
      <c r="A4573" t="str">
        <f t="shared" si="71"/>
        <v/>
      </c>
    </row>
    <row r="4574" spans="1:1">
      <c r="A4574" t="str">
        <f t="shared" si="71"/>
        <v/>
      </c>
    </row>
    <row r="4575" spans="1:1">
      <c r="A4575" t="str">
        <f t="shared" si="71"/>
        <v/>
      </c>
    </row>
    <row r="4576" spans="1:1">
      <c r="A4576" t="str">
        <f t="shared" si="71"/>
        <v/>
      </c>
    </row>
    <row r="4577" spans="1:1">
      <c r="A4577" t="str">
        <f t="shared" si="71"/>
        <v/>
      </c>
    </row>
    <row r="4578" spans="1:1">
      <c r="A4578" t="str">
        <f t="shared" si="71"/>
        <v/>
      </c>
    </row>
    <row r="4579" spans="1:1">
      <c r="A4579" t="str">
        <f t="shared" si="71"/>
        <v/>
      </c>
    </row>
    <row r="4580" spans="1:1">
      <c r="A4580" t="str">
        <f t="shared" si="71"/>
        <v/>
      </c>
    </row>
    <row r="4581" spans="1:1">
      <c r="A4581" t="str">
        <f t="shared" si="71"/>
        <v/>
      </c>
    </row>
    <row r="4582" spans="1:1">
      <c r="A4582" t="str">
        <f t="shared" si="71"/>
        <v/>
      </c>
    </row>
    <row r="4583" spans="1:1">
      <c r="A4583" t="str">
        <f t="shared" si="71"/>
        <v/>
      </c>
    </row>
    <row r="4584" spans="1:1">
      <c r="A4584" t="str">
        <f t="shared" si="71"/>
        <v/>
      </c>
    </row>
    <row r="4585" spans="1:1">
      <c r="A4585" t="str">
        <f t="shared" si="71"/>
        <v/>
      </c>
    </row>
    <row r="4586" spans="1:1">
      <c r="A4586" t="str">
        <f t="shared" si="71"/>
        <v/>
      </c>
    </row>
    <row r="4587" spans="1:1">
      <c r="A4587" t="str">
        <f t="shared" si="71"/>
        <v/>
      </c>
    </row>
    <row r="4588" spans="1:1">
      <c r="A4588" t="str">
        <f t="shared" si="71"/>
        <v/>
      </c>
    </row>
    <row r="4589" spans="1:1">
      <c r="A4589" t="str">
        <f t="shared" si="71"/>
        <v/>
      </c>
    </row>
    <row r="4590" spans="1:1">
      <c r="A4590" t="str">
        <f t="shared" si="71"/>
        <v/>
      </c>
    </row>
    <row r="4591" spans="1:1">
      <c r="A4591" t="str">
        <f t="shared" si="71"/>
        <v/>
      </c>
    </row>
    <row r="4592" spans="1:1">
      <c r="A4592" t="str">
        <f t="shared" si="71"/>
        <v/>
      </c>
    </row>
    <row r="4593" spans="1:1">
      <c r="A4593" t="str">
        <f t="shared" si="71"/>
        <v/>
      </c>
    </row>
    <row r="4594" spans="1:1">
      <c r="A4594" t="str">
        <f t="shared" si="71"/>
        <v/>
      </c>
    </row>
    <row r="4595" spans="1:1">
      <c r="A4595" t="str">
        <f t="shared" si="71"/>
        <v/>
      </c>
    </row>
    <row r="4596" spans="1:1">
      <c r="A4596" t="str">
        <f t="shared" si="71"/>
        <v/>
      </c>
    </row>
    <row r="4597" spans="1:1">
      <c r="A4597" t="str">
        <f t="shared" si="71"/>
        <v/>
      </c>
    </row>
    <row r="4598" spans="1:1">
      <c r="A4598" t="str">
        <f t="shared" si="71"/>
        <v/>
      </c>
    </row>
    <row r="4599" spans="1:1">
      <c r="A4599" t="str">
        <f t="shared" si="71"/>
        <v/>
      </c>
    </row>
    <row r="4600" spans="1:1">
      <c r="A4600" t="str">
        <f t="shared" si="71"/>
        <v/>
      </c>
    </row>
    <row r="4601" spans="1:1">
      <c r="A4601" t="str">
        <f t="shared" si="71"/>
        <v/>
      </c>
    </row>
    <row r="4602" spans="1:1">
      <c r="A4602" t="str">
        <f t="shared" si="71"/>
        <v/>
      </c>
    </row>
    <row r="4603" spans="1:1">
      <c r="A4603" t="str">
        <f t="shared" si="71"/>
        <v/>
      </c>
    </row>
    <row r="4604" spans="1:1">
      <c r="A4604" t="str">
        <f t="shared" si="71"/>
        <v/>
      </c>
    </row>
    <row r="4605" spans="1:1">
      <c r="A4605" t="str">
        <f t="shared" si="71"/>
        <v/>
      </c>
    </row>
    <row r="4606" spans="1:1">
      <c r="A4606" t="str">
        <f t="shared" si="71"/>
        <v/>
      </c>
    </row>
    <row r="4607" spans="1:1">
      <c r="A4607" t="str">
        <f t="shared" si="71"/>
        <v/>
      </c>
    </row>
    <row r="4608" spans="1:1">
      <c r="A4608" t="str">
        <f t="shared" ref="A4608:A4671" si="72">CONCATENATE(I4608, B4608)</f>
        <v/>
      </c>
    </row>
    <row r="4609" spans="1:1">
      <c r="A4609" t="str">
        <f t="shared" si="72"/>
        <v/>
      </c>
    </row>
    <row r="4610" spans="1:1">
      <c r="A4610" t="str">
        <f t="shared" si="72"/>
        <v/>
      </c>
    </row>
    <row r="4611" spans="1:1">
      <c r="A4611" t="str">
        <f t="shared" si="72"/>
        <v/>
      </c>
    </row>
    <row r="4612" spans="1:1">
      <c r="A4612" t="str">
        <f t="shared" si="72"/>
        <v/>
      </c>
    </row>
    <row r="4613" spans="1:1">
      <c r="A4613" t="str">
        <f t="shared" si="72"/>
        <v/>
      </c>
    </row>
    <row r="4614" spans="1:1">
      <c r="A4614" t="str">
        <f t="shared" si="72"/>
        <v/>
      </c>
    </row>
    <row r="4615" spans="1:1">
      <c r="A4615" t="str">
        <f t="shared" si="72"/>
        <v/>
      </c>
    </row>
    <row r="4616" spans="1:1">
      <c r="A4616" t="str">
        <f t="shared" si="72"/>
        <v/>
      </c>
    </row>
    <row r="4617" spans="1:1">
      <c r="A4617" t="str">
        <f t="shared" si="72"/>
        <v/>
      </c>
    </row>
    <row r="4618" spans="1:1">
      <c r="A4618" t="str">
        <f t="shared" si="72"/>
        <v/>
      </c>
    </row>
    <row r="4619" spans="1:1">
      <c r="A4619" t="str">
        <f t="shared" si="72"/>
        <v/>
      </c>
    </row>
    <row r="4620" spans="1:1">
      <c r="A4620" t="str">
        <f t="shared" si="72"/>
        <v/>
      </c>
    </row>
    <row r="4621" spans="1:1">
      <c r="A4621" t="str">
        <f t="shared" si="72"/>
        <v/>
      </c>
    </row>
    <row r="4622" spans="1:1">
      <c r="A4622" t="str">
        <f t="shared" si="72"/>
        <v/>
      </c>
    </row>
    <row r="4623" spans="1:1">
      <c r="A4623" t="str">
        <f t="shared" si="72"/>
        <v/>
      </c>
    </row>
    <row r="4624" spans="1:1">
      <c r="A4624" t="str">
        <f t="shared" si="72"/>
        <v/>
      </c>
    </row>
    <row r="4625" spans="1:1">
      <c r="A4625" t="str">
        <f t="shared" si="72"/>
        <v/>
      </c>
    </row>
    <row r="4626" spans="1:1">
      <c r="A4626" t="str">
        <f t="shared" si="72"/>
        <v/>
      </c>
    </row>
    <row r="4627" spans="1:1">
      <c r="A4627" t="str">
        <f t="shared" si="72"/>
        <v/>
      </c>
    </row>
    <row r="4628" spans="1:1">
      <c r="A4628" t="str">
        <f t="shared" si="72"/>
        <v/>
      </c>
    </row>
    <row r="4629" spans="1:1">
      <c r="A4629" t="str">
        <f t="shared" si="72"/>
        <v/>
      </c>
    </row>
    <row r="4630" spans="1:1">
      <c r="A4630" t="str">
        <f t="shared" si="72"/>
        <v/>
      </c>
    </row>
    <row r="4631" spans="1:1">
      <c r="A4631" t="str">
        <f t="shared" si="72"/>
        <v/>
      </c>
    </row>
    <row r="4632" spans="1:1">
      <c r="A4632" t="str">
        <f t="shared" si="72"/>
        <v/>
      </c>
    </row>
    <row r="4633" spans="1:1">
      <c r="A4633" t="str">
        <f t="shared" si="72"/>
        <v/>
      </c>
    </row>
    <row r="4634" spans="1:1">
      <c r="A4634" t="str">
        <f t="shared" si="72"/>
        <v/>
      </c>
    </row>
    <row r="4635" spans="1:1">
      <c r="A4635" t="str">
        <f t="shared" si="72"/>
        <v/>
      </c>
    </row>
    <row r="4636" spans="1:1">
      <c r="A4636" t="str">
        <f t="shared" si="72"/>
        <v/>
      </c>
    </row>
    <row r="4637" spans="1:1">
      <c r="A4637" t="str">
        <f t="shared" si="72"/>
        <v/>
      </c>
    </row>
    <row r="4638" spans="1:1">
      <c r="A4638" t="str">
        <f t="shared" si="72"/>
        <v/>
      </c>
    </row>
    <row r="4639" spans="1:1">
      <c r="A4639" t="str">
        <f t="shared" si="72"/>
        <v/>
      </c>
    </row>
    <row r="4640" spans="1:1">
      <c r="A4640" t="str">
        <f t="shared" si="72"/>
        <v/>
      </c>
    </row>
    <row r="4641" spans="1:1">
      <c r="A4641" t="str">
        <f t="shared" si="72"/>
        <v/>
      </c>
    </row>
    <row r="4642" spans="1:1">
      <c r="A4642" t="str">
        <f t="shared" si="72"/>
        <v/>
      </c>
    </row>
    <row r="4643" spans="1:1">
      <c r="A4643" t="str">
        <f t="shared" si="72"/>
        <v/>
      </c>
    </row>
    <row r="4644" spans="1:1">
      <c r="A4644" t="str">
        <f t="shared" si="72"/>
        <v/>
      </c>
    </row>
    <row r="4645" spans="1:1">
      <c r="A4645" t="str">
        <f t="shared" si="72"/>
        <v/>
      </c>
    </row>
    <row r="4646" spans="1:1">
      <c r="A4646" t="str">
        <f t="shared" si="72"/>
        <v/>
      </c>
    </row>
    <row r="4647" spans="1:1">
      <c r="A4647" t="str">
        <f t="shared" si="72"/>
        <v/>
      </c>
    </row>
    <row r="4648" spans="1:1">
      <c r="A4648" t="str">
        <f t="shared" si="72"/>
        <v/>
      </c>
    </row>
    <row r="4649" spans="1:1">
      <c r="A4649" t="str">
        <f t="shared" si="72"/>
        <v/>
      </c>
    </row>
    <row r="4650" spans="1:1">
      <c r="A4650" t="str">
        <f t="shared" si="72"/>
        <v/>
      </c>
    </row>
    <row r="4651" spans="1:1">
      <c r="A4651" t="str">
        <f t="shared" si="72"/>
        <v/>
      </c>
    </row>
    <row r="4652" spans="1:1">
      <c r="A4652" t="str">
        <f t="shared" si="72"/>
        <v/>
      </c>
    </row>
    <row r="4653" spans="1:1">
      <c r="A4653" t="str">
        <f t="shared" si="72"/>
        <v/>
      </c>
    </row>
    <row r="4654" spans="1:1">
      <c r="A4654" t="str">
        <f t="shared" si="72"/>
        <v/>
      </c>
    </row>
    <row r="4655" spans="1:1">
      <c r="A4655" t="str">
        <f t="shared" si="72"/>
        <v/>
      </c>
    </row>
    <row r="4656" spans="1:1">
      <c r="A4656" t="str">
        <f t="shared" si="72"/>
        <v/>
      </c>
    </row>
    <row r="4657" spans="1:1">
      <c r="A4657" t="str">
        <f t="shared" si="72"/>
        <v/>
      </c>
    </row>
    <row r="4658" spans="1:1">
      <c r="A4658" t="str">
        <f t="shared" si="72"/>
        <v/>
      </c>
    </row>
    <row r="4659" spans="1:1">
      <c r="A4659" t="str">
        <f t="shared" si="72"/>
        <v/>
      </c>
    </row>
    <row r="4660" spans="1:1">
      <c r="A4660" t="str">
        <f t="shared" si="72"/>
        <v/>
      </c>
    </row>
    <row r="4661" spans="1:1">
      <c r="A4661" t="str">
        <f t="shared" si="72"/>
        <v/>
      </c>
    </row>
    <row r="4662" spans="1:1">
      <c r="A4662" t="str">
        <f t="shared" si="72"/>
        <v/>
      </c>
    </row>
    <row r="4663" spans="1:1">
      <c r="A4663" t="str">
        <f t="shared" si="72"/>
        <v/>
      </c>
    </row>
    <row r="4664" spans="1:1">
      <c r="A4664" t="str">
        <f t="shared" si="72"/>
        <v/>
      </c>
    </row>
    <row r="4665" spans="1:1">
      <c r="A4665" t="str">
        <f t="shared" si="72"/>
        <v/>
      </c>
    </row>
    <row r="4666" spans="1:1">
      <c r="A4666" t="str">
        <f t="shared" si="72"/>
        <v/>
      </c>
    </row>
    <row r="4667" spans="1:1">
      <c r="A4667" t="str">
        <f t="shared" si="72"/>
        <v/>
      </c>
    </row>
    <row r="4668" spans="1:1">
      <c r="A4668" t="str">
        <f t="shared" si="72"/>
        <v/>
      </c>
    </row>
    <row r="4669" spans="1:1">
      <c r="A4669" t="str">
        <f t="shared" si="72"/>
        <v/>
      </c>
    </row>
    <row r="4670" spans="1:1">
      <c r="A4670" t="str">
        <f t="shared" si="72"/>
        <v/>
      </c>
    </row>
    <row r="4671" spans="1:1">
      <c r="A4671" t="str">
        <f t="shared" si="72"/>
        <v/>
      </c>
    </row>
    <row r="4672" spans="1:1">
      <c r="A4672" t="str">
        <f t="shared" ref="A4672:A4735" si="73">CONCATENATE(I4672, B4672)</f>
        <v/>
      </c>
    </row>
    <row r="4673" spans="1:1">
      <c r="A4673" t="str">
        <f t="shared" si="73"/>
        <v/>
      </c>
    </row>
    <row r="4674" spans="1:1">
      <c r="A4674" t="str">
        <f t="shared" si="73"/>
        <v/>
      </c>
    </row>
    <row r="4675" spans="1:1">
      <c r="A4675" t="str">
        <f t="shared" si="73"/>
        <v/>
      </c>
    </row>
    <row r="4676" spans="1:1">
      <c r="A4676" t="str">
        <f t="shared" si="73"/>
        <v/>
      </c>
    </row>
    <row r="4677" spans="1:1">
      <c r="A4677" t="str">
        <f t="shared" si="73"/>
        <v/>
      </c>
    </row>
    <row r="4678" spans="1:1">
      <c r="A4678" t="str">
        <f t="shared" si="73"/>
        <v/>
      </c>
    </row>
    <row r="4679" spans="1:1">
      <c r="A4679" t="str">
        <f t="shared" si="73"/>
        <v/>
      </c>
    </row>
    <row r="4680" spans="1:1">
      <c r="A4680" t="str">
        <f t="shared" si="73"/>
        <v/>
      </c>
    </row>
    <row r="4681" spans="1:1">
      <c r="A4681" t="str">
        <f t="shared" si="73"/>
        <v/>
      </c>
    </row>
    <row r="4682" spans="1:1">
      <c r="A4682" t="str">
        <f t="shared" si="73"/>
        <v/>
      </c>
    </row>
    <row r="4683" spans="1:1">
      <c r="A4683" t="str">
        <f t="shared" si="73"/>
        <v/>
      </c>
    </row>
    <row r="4684" spans="1:1">
      <c r="A4684" t="str">
        <f t="shared" si="73"/>
        <v/>
      </c>
    </row>
    <row r="4685" spans="1:1">
      <c r="A4685" t="str">
        <f t="shared" si="73"/>
        <v/>
      </c>
    </row>
    <row r="4686" spans="1:1">
      <c r="A4686" t="str">
        <f t="shared" si="73"/>
        <v/>
      </c>
    </row>
    <row r="4687" spans="1:1">
      <c r="A4687" t="str">
        <f t="shared" si="73"/>
        <v/>
      </c>
    </row>
    <row r="4688" spans="1:1">
      <c r="A4688" t="str">
        <f t="shared" si="73"/>
        <v/>
      </c>
    </row>
    <row r="4689" spans="1:1">
      <c r="A4689" t="str">
        <f t="shared" si="73"/>
        <v/>
      </c>
    </row>
    <row r="4690" spans="1:1">
      <c r="A4690" t="str">
        <f t="shared" si="73"/>
        <v/>
      </c>
    </row>
    <row r="4691" spans="1:1">
      <c r="A4691" t="str">
        <f t="shared" si="73"/>
        <v/>
      </c>
    </row>
    <row r="4692" spans="1:1">
      <c r="A4692" t="str">
        <f t="shared" si="73"/>
        <v/>
      </c>
    </row>
    <row r="4693" spans="1:1">
      <c r="A4693" t="str">
        <f t="shared" si="73"/>
        <v/>
      </c>
    </row>
    <row r="4694" spans="1:1">
      <c r="A4694" t="str">
        <f t="shared" si="73"/>
        <v/>
      </c>
    </row>
    <row r="4695" spans="1:1">
      <c r="A4695" t="str">
        <f t="shared" si="73"/>
        <v/>
      </c>
    </row>
    <row r="4696" spans="1:1">
      <c r="A4696" t="str">
        <f t="shared" si="73"/>
        <v/>
      </c>
    </row>
    <row r="4697" spans="1:1">
      <c r="A4697" t="str">
        <f t="shared" si="73"/>
        <v/>
      </c>
    </row>
    <row r="4698" spans="1:1">
      <c r="A4698" t="str">
        <f t="shared" si="73"/>
        <v/>
      </c>
    </row>
    <row r="4699" spans="1:1">
      <c r="A4699" t="str">
        <f t="shared" si="73"/>
        <v/>
      </c>
    </row>
    <row r="4700" spans="1:1">
      <c r="A4700" t="str">
        <f t="shared" si="73"/>
        <v/>
      </c>
    </row>
    <row r="4701" spans="1:1">
      <c r="A4701" t="str">
        <f t="shared" si="73"/>
        <v/>
      </c>
    </row>
    <row r="4702" spans="1:1">
      <c r="A4702" t="str">
        <f t="shared" si="73"/>
        <v/>
      </c>
    </row>
    <row r="4703" spans="1:1">
      <c r="A4703" t="str">
        <f t="shared" si="73"/>
        <v/>
      </c>
    </row>
    <row r="4704" spans="1:1">
      <c r="A4704" t="str">
        <f t="shared" si="73"/>
        <v/>
      </c>
    </row>
    <row r="4705" spans="1:1">
      <c r="A4705" t="str">
        <f t="shared" si="73"/>
        <v/>
      </c>
    </row>
    <row r="4706" spans="1:1">
      <c r="A4706" t="str">
        <f t="shared" si="73"/>
        <v/>
      </c>
    </row>
    <row r="4707" spans="1:1">
      <c r="A4707" t="str">
        <f t="shared" si="73"/>
        <v/>
      </c>
    </row>
    <row r="4708" spans="1:1">
      <c r="A4708" t="str">
        <f t="shared" si="73"/>
        <v/>
      </c>
    </row>
    <row r="4709" spans="1:1">
      <c r="A4709" t="str">
        <f t="shared" si="73"/>
        <v/>
      </c>
    </row>
    <row r="4710" spans="1:1">
      <c r="A4710" t="str">
        <f t="shared" si="73"/>
        <v/>
      </c>
    </row>
    <row r="4711" spans="1:1">
      <c r="A4711" t="str">
        <f t="shared" si="73"/>
        <v/>
      </c>
    </row>
    <row r="4712" spans="1:1">
      <c r="A4712" t="str">
        <f t="shared" si="73"/>
        <v/>
      </c>
    </row>
    <row r="4713" spans="1:1">
      <c r="A4713" t="str">
        <f t="shared" si="73"/>
        <v/>
      </c>
    </row>
    <row r="4714" spans="1:1">
      <c r="A4714" t="str">
        <f t="shared" si="73"/>
        <v/>
      </c>
    </row>
    <row r="4715" spans="1:1">
      <c r="A4715" t="str">
        <f t="shared" si="73"/>
        <v/>
      </c>
    </row>
    <row r="4716" spans="1:1">
      <c r="A4716" t="str">
        <f t="shared" si="73"/>
        <v/>
      </c>
    </row>
    <row r="4717" spans="1:1">
      <c r="A4717" t="str">
        <f t="shared" si="73"/>
        <v/>
      </c>
    </row>
    <row r="4718" spans="1:1">
      <c r="A4718" t="str">
        <f t="shared" si="73"/>
        <v/>
      </c>
    </row>
    <row r="4719" spans="1:1">
      <c r="A4719" t="str">
        <f t="shared" si="73"/>
        <v/>
      </c>
    </row>
    <row r="4720" spans="1:1">
      <c r="A4720" t="str">
        <f t="shared" si="73"/>
        <v/>
      </c>
    </row>
    <row r="4721" spans="1:1">
      <c r="A4721" t="str">
        <f t="shared" si="73"/>
        <v/>
      </c>
    </row>
    <row r="4722" spans="1:1">
      <c r="A4722" t="str">
        <f t="shared" si="73"/>
        <v/>
      </c>
    </row>
    <row r="4723" spans="1:1">
      <c r="A4723" t="str">
        <f t="shared" si="73"/>
        <v/>
      </c>
    </row>
    <row r="4724" spans="1:1">
      <c r="A4724" t="str">
        <f t="shared" si="73"/>
        <v/>
      </c>
    </row>
    <row r="4725" spans="1:1">
      <c r="A4725" t="str">
        <f t="shared" si="73"/>
        <v/>
      </c>
    </row>
    <row r="4726" spans="1:1">
      <c r="A4726" t="str">
        <f t="shared" si="73"/>
        <v/>
      </c>
    </row>
    <row r="4727" spans="1:1">
      <c r="A4727" t="str">
        <f t="shared" si="73"/>
        <v/>
      </c>
    </row>
    <row r="4728" spans="1:1">
      <c r="A4728" t="str">
        <f t="shared" si="73"/>
        <v/>
      </c>
    </row>
    <row r="4729" spans="1:1">
      <c r="A4729" t="str">
        <f t="shared" si="73"/>
        <v/>
      </c>
    </row>
    <row r="4730" spans="1:1">
      <c r="A4730" t="str">
        <f t="shared" si="73"/>
        <v/>
      </c>
    </row>
    <row r="4731" spans="1:1">
      <c r="A4731" t="str">
        <f t="shared" si="73"/>
        <v/>
      </c>
    </row>
    <row r="4732" spans="1:1">
      <c r="A4732" t="str">
        <f t="shared" si="73"/>
        <v/>
      </c>
    </row>
    <row r="4733" spans="1:1">
      <c r="A4733" t="str">
        <f t="shared" si="73"/>
        <v/>
      </c>
    </row>
    <row r="4734" spans="1:1">
      <c r="A4734" t="str">
        <f t="shared" si="73"/>
        <v/>
      </c>
    </row>
    <row r="4735" spans="1:1">
      <c r="A4735" t="str">
        <f t="shared" si="73"/>
        <v/>
      </c>
    </row>
    <row r="4736" spans="1:1">
      <c r="A4736" t="str">
        <f t="shared" ref="A4736:A4799" si="74">CONCATENATE(I4736, B4736)</f>
        <v/>
      </c>
    </row>
    <row r="4737" spans="1:1">
      <c r="A4737" t="str">
        <f t="shared" si="74"/>
        <v/>
      </c>
    </row>
    <row r="4738" spans="1:1">
      <c r="A4738" t="str">
        <f t="shared" si="74"/>
        <v/>
      </c>
    </row>
    <row r="4739" spans="1:1">
      <c r="A4739" t="str">
        <f t="shared" si="74"/>
        <v/>
      </c>
    </row>
    <row r="4740" spans="1:1">
      <c r="A4740" t="str">
        <f t="shared" si="74"/>
        <v/>
      </c>
    </row>
    <row r="4741" spans="1:1">
      <c r="A4741" t="str">
        <f t="shared" si="74"/>
        <v/>
      </c>
    </row>
    <row r="4742" spans="1:1">
      <c r="A4742" t="str">
        <f t="shared" si="74"/>
        <v/>
      </c>
    </row>
    <row r="4743" spans="1:1">
      <c r="A4743" t="str">
        <f t="shared" si="74"/>
        <v/>
      </c>
    </row>
    <row r="4744" spans="1:1">
      <c r="A4744" t="str">
        <f t="shared" si="74"/>
        <v/>
      </c>
    </row>
    <row r="4745" spans="1:1">
      <c r="A4745" t="str">
        <f t="shared" si="74"/>
        <v/>
      </c>
    </row>
    <row r="4746" spans="1:1">
      <c r="A4746" t="str">
        <f t="shared" si="74"/>
        <v/>
      </c>
    </row>
    <row r="4747" spans="1:1">
      <c r="A4747" t="str">
        <f t="shared" si="74"/>
        <v/>
      </c>
    </row>
    <row r="4748" spans="1:1">
      <c r="A4748" t="str">
        <f t="shared" si="74"/>
        <v/>
      </c>
    </row>
    <row r="4749" spans="1:1">
      <c r="A4749" t="str">
        <f t="shared" si="74"/>
        <v/>
      </c>
    </row>
    <row r="4750" spans="1:1">
      <c r="A4750" t="str">
        <f t="shared" si="74"/>
        <v/>
      </c>
    </row>
    <row r="4751" spans="1:1">
      <c r="A4751" t="str">
        <f t="shared" si="74"/>
        <v/>
      </c>
    </row>
    <row r="4752" spans="1:1">
      <c r="A4752" t="str">
        <f t="shared" si="74"/>
        <v/>
      </c>
    </row>
    <row r="4753" spans="1:1">
      <c r="A4753" t="str">
        <f t="shared" si="74"/>
        <v/>
      </c>
    </row>
    <row r="4754" spans="1:1">
      <c r="A4754" t="str">
        <f t="shared" si="74"/>
        <v/>
      </c>
    </row>
    <row r="4755" spans="1:1">
      <c r="A4755" t="str">
        <f t="shared" si="74"/>
        <v/>
      </c>
    </row>
    <row r="4756" spans="1:1">
      <c r="A4756" t="str">
        <f t="shared" si="74"/>
        <v/>
      </c>
    </row>
    <row r="4757" spans="1:1">
      <c r="A4757" t="str">
        <f t="shared" si="74"/>
        <v/>
      </c>
    </row>
    <row r="4758" spans="1:1">
      <c r="A4758" t="str">
        <f t="shared" si="74"/>
        <v/>
      </c>
    </row>
    <row r="4759" spans="1:1">
      <c r="A4759" t="str">
        <f t="shared" si="74"/>
        <v/>
      </c>
    </row>
    <row r="4760" spans="1:1">
      <c r="A4760" t="str">
        <f t="shared" si="74"/>
        <v/>
      </c>
    </row>
    <row r="4761" spans="1:1">
      <c r="A4761" t="str">
        <f t="shared" si="74"/>
        <v/>
      </c>
    </row>
    <row r="4762" spans="1:1">
      <c r="A4762" t="str">
        <f t="shared" si="74"/>
        <v/>
      </c>
    </row>
    <row r="4763" spans="1:1">
      <c r="A4763" t="str">
        <f t="shared" si="74"/>
        <v/>
      </c>
    </row>
    <row r="4764" spans="1:1">
      <c r="A4764" t="str">
        <f t="shared" si="74"/>
        <v/>
      </c>
    </row>
    <row r="4765" spans="1:1">
      <c r="A4765" t="str">
        <f t="shared" si="74"/>
        <v/>
      </c>
    </row>
    <row r="4766" spans="1:1">
      <c r="A4766" t="str">
        <f t="shared" si="74"/>
        <v/>
      </c>
    </row>
    <row r="4767" spans="1:1">
      <c r="A4767" t="str">
        <f t="shared" si="74"/>
        <v/>
      </c>
    </row>
    <row r="4768" spans="1:1">
      <c r="A4768" t="str">
        <f t="shared" si="74"/>
        <v/>
      </c>
    </row>
    <row r="4769" spans="1:1">
      <c r="A4769" t="str">
        <f t="shared" si="74"/>
        <v/>
      </c>
    </row>
    <row r="4770" spans="1:1">
      <c r="A4770" t="str">
        <f t="shared" si="74"/>
        <v/>
      </c>
    </row>
    <row r="4771" spans="1:1">
      <c r="A4771" t="str">
        <f t="shared" si="74"/>
        <v/>
      </c>
    </row>
    <row r="4772" spans="1:1">
      <c r="A4772" t="str">
        <f t="shared" si="74"/>
        <v/>
      </c>
    </row>
    <row r="4773" spans="1:1">
      <c r="A4773" t="str">
        <f t="shared" si="74"/>
        <v/>
      </c>
    </row>
    <row r="4774" spans="1:1">
      <c r="A4774" t="str">
        <f t="shared" si="74"/>
        <v/>
      </c>
    </row>
    <row r="4775" spans="1:1">
      <c r="A4775" t="str">
        <f t="shared" si="74"/>
        <v/>
      </c>
    </row>
    <row r="4776" spans="1:1">
      <c r="A4776" t="str">
        <f t="shared" si="74"/>
        <v/>
      </c>
    </row>
    <row r="4777" spans="1:1">
      <c r="A4777" t="str">
        <f t="shared" si="74"/>
        <v/>
      </c>
    </row>
    <row r="4778" spans="1:1">
      <c r="A4778" t="str">
        <f t="shared" si="74"/>
        <v/>
      </c>
    </row>
    <row r="4779" spans="1:1">
      <c r="A4779" t="str">
        <f t="shared" si="74"/>
        <v/>
      </c>
    </row>
    <row r="4780" spans="1:1">
      <c r="A4780" t="str">
        <f t="shared" si="74"/>
        <v/>
      </c>
    </row>
    <row r="4781" spans="1:1">
      <c r="A4781" t="str">
        <f t="shared" si="74"/>
        <v/>
      </c>
    </row>
    <row r="4782" spans="1:1">
      <c r="A4782" t="str">
        <f t="shared" si="74"/>
        <v/>
      </c>
    </row>
    <row r="4783" spans="1:1">
      <c r="A4783" t="str">
        <f t="shared" si="74"/>
        <v/>
      </c>
    </row>
    <row r="4784" spans="1:1">
      <c r="A4784" t="str">
        <f t="shared" si="74"/>
        <v/>
      </c>
    </row>
    <row r="4785" spans="1:1">
      <c r="A4785" t="str">
        <f t="shared" si="74"/>
        <v/>
      </c>
    </row>
    <row r="4786" spans="1:1">
      <c r="A4786" t="str">
        <f t="shared" si="74"/>
        <v/>
      </c>
    </row>
    <row r="4787" spans="1:1">
      <c r="A4787" t="str">
        <f t="shared" si="74"/>
        <v/>
      </c>
    </row>
    <row r="4788" spans="1:1">
      <c r="A4788" t="str">
        <f t="shared" si="74"/>
        <v/>
      </c>
    </row>
    <row r="4789" spans="1:1">
      <c r="A4789" t="str">
        <f t="shared" si="74"/>
        <v/>
      </c>
    </row>
    <row r="4790" spans="1:1">
      <c r="A4790" t="str">
        <f t="shared" si="74"/>
        <v/>
      </c>
    </row>
    <row r="4791" spans="1:1">
      <c r="A4791" t="str">
        <f t="shared" si="74"/>
        <v/>
      </c>
    </row>
    <row r="4792" spans="1:1">
      <c r="A4792" t="str">
        <f t="shared" si="74"/>
        <v/>
      </c>
    </row>
    <row r="4793" spans="1:1">
      <c r="A4793" t="str">
        <f t="shared" si="74"/>
        <v/>
      </c>
    </row>
    <row r="4794" spans="1:1">
      <c r="A4794" t="str">
        <f t="shared" si="74"/>
        <v/>
      </c>
    </row>
    <row r="4795" spans="1:1">
      <c r="A4795" t="str">
        <f t="shared" si="74"/>
        <v/>
      </c>
    </row>
    <row r="4796" spans="1:1">
      <c r="A4796" t="str">
        <f t="shared" si="74"/>
        <v/>
      </c>
    </row>
    <row r="4797" spans="1:1">
      <c r="A4797" t="str">
        <f t="shared" si="74"/>
        <v/>
      </c>
    </row>
    <row r="4798" spans="1:1">
      <c r="A4798" t="str">
        <f t="shared" si="74"/>
        <v/>
      </c>
    </row>
    <row r="4799" spans="1:1">
      <c r="A4799" t="str">
        <f t="shared" si="74"/>
        <v/>
      </c>
    </row>
    <row r="4800" spans="1:1">
      <c r="A4800" t="str">
        <f t="shared" ref="A4800:A4863" si="75">CONCATENATE(I4800, B4800)</f>
        <v/>
      </c>
    </row>
    <row r="4801" spans="1:1">
      <c r="A4801" t="str">
        <f t="shared" si="75"/>
        <v/>
      </c>
    </row>
    <row r="4802" spans="1:1">
      <c r="A4802" t="str">
        <f t="shared" si="75"/>
        <v/>
      </c>
    </row>
    <row r="4803" spans="1:1">
      <c r="A4803" t="str">
        <f t="shared" si="75"/>
        <v/>
      </c>
    </row>
    <row r="4804" spans="1:1">
      <c r="A4804" t="str">
        <f t="shared" si="75"/>
        <v/>
      </c>
    </row>
    <row r="4805" spans="1:1">
      <c r="A4805" t="str">
        <f t="shared" si="75"/>
        <v/>
      </c>
    </row>
    <row r="4806" spans="1:1">
      <c r="A4806" t="str">
        <f t="shared" si="75"/>
        <v/>
      </c>
    </row>
    <row r="4807" spans="1:1">
      <c r="A4807" t="str">
        <f t="shared" si="75"/>
        <v/>
      </c>
    </row>
    <row r="4808" spans="1:1">
      <c r="A4808" t="str">
        <f t="shared" si="75"/>
        <v/>
      </c>
    </row>
    <row r="4809" spans="1:1">
      <c r="A4809" t="str">
        <f t="shared" si="75"/>
        <v/>
      </c>
    </row>
    <row r="4810" spans="1:1">
      <c r="A4810" t="str">
        <f t="shared" si="75"/>
        <v/>
      </c>
    </row>
    <row r="4811" spans="1:1">
      <c r="A4811" t="str">
        <f t="shared" si="75"/>
        <v/>
      </c>
    </row>
    <row r="4812" spans="1:1">
      <c r="A4812" t="str">
        <f t="shared" si="75"/>
        <v/>
      </c>
    </row>
    <row r="4813" spans="1:1">
      <c r="A4813" t="str">
        <f t="shared" si="75"/>
        <v/>
      </c>
    </row>
    <row r="4814" spans="1:1">
      <c r="A4814" t="str">
        <f t="shared" si="75"/>
        <v/>
      </c>
    </row>
    <row r="4815" spans="1:1">
      <c r="A4815" t="str">
        <f t="shared" si="75"/>
        <v/>
      </c>
    </row>
    <row r="4816" spans="1:1">
      <c r="A4816" t="str">
        <f t="shared" si="75"/>
        <v/>
      </c>
    </row>
    <row r="4817" spans="1:1">
      <c r="A4817" t="str">
        <f t="shared" si="75"/>
        <v/>
      </c>
    </row>
    <row r="4818" spans="1:1">
      <c r="A4818" t="str">
        <f t="shared" si="75"/>
        <v/>
      </c>
    </row>
    <row r="4819" spans="1:1">
      <c r="A4819" t="str">
        <f t="shared" si="75"/>
        <v/>
      </c>
    </row>
    <row r="4820" spans="1:1">
      <c r="A4820" t="str">
        <f t="shared" si="75"/>
        <v/>
      </c>
    </row>
    <row r="4821" spans="1:1">
      <c r="A4821" t="str">
        <f t="shared" si="75"/>
        <v/>
      </c>
    </row>
    <row r="4822" spans="1:1">
      <c r="A4822" t="str">
        <f t="shared" si="75"/>
        <v/>
      </c>
    </row>
    <row r="4823" spans="1:1">
      <c r="A4823" t="str">
        <f t="shared" si="75"/>
        <v/>
      </c>
    </row>
    <row r="4824" spans="1:1">
      <c r="A4824" t="str">
        <f t="shared" si="75"/>
        <v/>
      </c>
    </row>
    <row r="4825" spans="1:1">
      <c r="A4825" t="str">
        <f t="shared" si="75"/>
        <v/>
      </c>
    </row>
    <row r="4826" spans="1:1">
      <c r="A4826" t="str">
        <f t="shared" si="75"/>
        <v/>
      </c>
    </row>
    <row r="4827" spans="1:1">
      <c r="A4827" t="str">
        <f t="shared" si="75"/>
        <v/>
      </c>
    </row>
    <row r="4828" spans="1:1">
      <c r="A4828" t="str">
        <f t="shared" si="75"/>
        <v/>
      </c>
    </row>
    <row r="4829" spans="1:1">
      <c r="A4829" t="str">
        <f t="shared" si="75"/>
        <v/>
      </c>
    </row>
    <row r="4830" spans="1:1">
      <c r="A4830" t="str">
        <f t="shared" si="75"/>
        <v/>
      </c>
    </row>
    <row r="4831" spans="1:1">
      <c r="A4831" t="str">
        <f t="shared" si="75"/>
        <v/>
      </c>
    </row>
    <row r="4832" spans="1:1">
      <c r="A4832" t="str">
        <f t="shared" si="75"/>
        <v/>
      </c>
    </row>
    <row r="4833" spans="1:1">
      <c r="A4833" t="str">
        <f t="shared" si="75"/>
        <v/>
      </c>
    </row>
    <row r="4834" spans="1:1">
      <c r="A4834" t="str">
        <f t="shared" si="75"/>
        <v/>
      </c>
    </row>
    <row r="4835" spans="1:1">
      <c r="A4835" t="str">
        <f t="shared" si="75"/>
        <v/>
      </c>
    </row>
    <row r="4836" spans="1:1">
      <c r="A4836" t="str">
        <f t="shared" si="75"/>
        <v/>
      </c>
    </row>
    <row r="4837" spans="1:1">
      <c r="A4837" t="str">
        <f t="shared" si="75"/>
        <v/>
      </c>
    </row>
    <row r="4838" spans="1:1">
      <c r="A4838" t="str">
        <f t="shared" si="75"/>
        <v/>
      </c>
    </row>
    <row r="4839" spans="1:1">
      <c r="A4839" t="str">
        <f t="shared" si="75"/>
        <v/>
      </c>
    </row>
    <row r="4840" spans="1:1">
      <c r="A4840" t="str">
        <f t="shared" si="75"/>
        <v/>
      </c>
    </row>
    <row r="4841" spans="1:1">
      <c r="A4841" t="str">
        <f t="shared" si="75"/>
        <v/>
      </c>
    </row>
    <row r="4842" spans="1:1">
      <c r="A4842" t="str">
        <f t="shared" si="75"/>
        <v/>
      </c>
    </row>
    <row r="4843" spans="1:1">
      <c r="A4843" t="str">
        <f t="shared" si="75"/>
        <v/>
      </c>
    </row>
    <row r="4844" spans="1:1">
      <c r="A4844" t="str">
        <f t="shared" si="75"/>
        <v/>
      </c>
    </row>
    <row r="4845" spans="1:1">
      <c r="A4845" t="str">
        <f t="shared" si="75"/>
        <v/>
      </c>
    </row>
    <row r="4846" spans="1:1">
      <c r="A4846" t="str">
        <f t="shared" si="75"/>
        <v/>
      </c>
    </row>
    <row r="4847" spans="1:1">
      <c r="A4847" t="str">
        <f t="shared" si="75"/>
        <v/>
      </c>
    </row>
    <row r="4848" spans="1:1">
      <c r="A4848" t="str">
        <f t="shared" si="75"/>
        <v/>
      </c>
    </row>
    <row r="4849" spans="1:1">
      <c r="A4849" t="str">
        <f t="shared" si="75"/>
        <v/>
      </c>
    </row>
    <row r="4850" spans="1:1">
      <c r="A4850" t="str">
        <f t="shared" si="75"/>
        <v/>
      </c>
    </row>
    <row r="4851" spans="1:1">
      <c r="A4851" t="str">
        <f t="shared" si="75"/>
        <v/>
      </c>
    </row>
    <row r="4852" spans="1:1">
      <c r="A4852" t="str">
        <f t="shared" si="75"/>
        <v/>
      </c>
    </row>
    <row r="4853" spans="1:1">
      <c r="A4853" t="str">
        <f t="shared" si="75"/>
        <v/>
      </c>
    </row>
    <row r="4854" spans="1:1">
      <c r="A4854" t="str">
        <f t="shared" si="75"/>
        <v/>
      </c>
    </row>
    <row r="4855" spans="1:1">
      <c r="A4855" t="str">
        <f t="shared" si="75"/>
        <v/>
      </c>
    </row>
    <row r="4856" spans="1:1">
      <c r="A4856" t="str">
        <f t="shared" si="75"/>
        <v/>
      </c>
    </row>
    <row r="4857" spans="1:1">
      <c r="A4857" t="str">
        <f t="shared" si="75"/>
        <v/>
      </c>
    </row>
    <row r="4858" spans="1:1">
      <c r="A4858" t="str">
        <f t="shared" si="75"/>
        <v/>
      </c>
    </row>
    <row r="4859" spans="1:1">
      <c r="A4859" t="str">
        <f t="shared" si="75"/>
        <v/>
      </c>
    </row>
    <row r="4860" spans="1:1">
      <c r="A4860" t="str">
        <f t="shared" si="75"/>
        <v/>
      </c>
    </row>
    <row r="4861" spans="1:1">
      <c r="A4861" t="str">
        <f t="shared" si="75"/>
        <v/>
      </c>
    </row>
    <row r="4862" spans="1:1">
      <c r="A4862" t="str">
        <f t="shared" si="75"/>
        <v/>
      </c>
    </row>
    <row r="4863" spans="1:1">
      <c r="A4863" t="str">
        <f t="shared" si="75"/>
        <v/>
      </c>
    </row>
    <row r="4864" spans="1:1">
      <c r="A4864" t="str">
        <f t="shared" ref="A4864:A4927" si="76">CONCATENATE(I4864, B4864)</f>
        <v/>
      </c>
    </row>
    <row r="4865" spans="1:1">
      <c r="A4865" t="str">
        <f t="shared" si="76"/>
        <v/>
      </c>
    </row>
    <row r="4866" spans="1:1">
      <c r="A4866" t="str">
        <f t="shared" si="76"/>
        <v/>
      </c>
    </row>
    <row r="4867" spans="1:1">
      <c r="A4867" t="str">
        <f t="shared" si="76"/>
        <v/>
      </c>
    </row>
    <row r="4868" spans="1:1">
      <c r="A4868" t="str">
        <f t="shared" si="76"/>
        <v/>
      </c>
    </row>
    <row r="4869" spans="1:1">
      <c r="A4869" t="str">
        <f t="shared" si="76"/>
        <v/>
      </c>
    </row>
    <row r="4870" spans="1:1">
      <c r="A4870" t="str">
        <f t="shared" si="76"/>
        <v/>
      </c>
    </row>
    <row r="4871" spans="1:1">
      <c r="A4871" t="str">
        <f t="shared" si="76"/>
        <v/>
      </c>
    </row>
    <row r="4872" spans="1:1">
      <c r="A4872" t="str">
        <f t="shared" si="76"/>
        <v/>
      </c>
    </row>
    <row r="4873" spans="1:1">
      <c r="A4873" t="str">
        <f t="shared" si="76"/>
        <v/>
      </c>
    </row>
    <row r="4874" spans="1:1">
      <c r="A4874" t="str">
        <f t="shared" si="76"/>
        <v/>
      </c>
    </row>
    <row r="4875" spans="1:1">
      <c r="A4875" t="str">
        <f t="shared" si="76"/>
        <v/>
      </c>
    </row>
    <row r="4876" spans="1:1">
      <c r="A4876" t="str">
        <f t="shared" si="76"/>
        <v/>
      </c>
    </row>
    <row r="4877" spans="1:1">
      <c r="A4877" t="str">
        <f t="shared" si="76"/>
        <v/>
      </c>
    </row>
    <row r="4878" spans="1:1">
      <c r="A4878" t="str">
        <f t="shared" si="76"/>
        <v/>
      </c>
    </row>
    <row r="4879" spans="1:1">
      <c r="A4879" t="str">
        <f t="shared" si="76"/>
        <v/>
      </c>
    </row>
    <row r="4880" spans="1:1">
      <c r="A4880" t="str">
        <f t="shared" si="76"/>
        <v/>
      </c>
    </row>
    <row r="4881" spans="1:1">
      <c r="A4881" t="str">
        <f t="shared" si="76"/>
        <v/>
      </c>
    </row>
    <row r="4882" spans="1:1">
      <c r="A4882" t="str">
        <f t="shared" si="76"/>
        <v/>
      </c>
    </row>
    <row r="4883" spans="1:1">
      <c r="A4883" t="str">
        <f t="shared" si="76"/>
        <v/>
      </c>
    </row>
    <row r="4884" spans="1:1">
      <c r="A4884" t="str">
        <f t="shared" si="76"/>
        <v/>
      </c>
    </row>
    <row r="4885" spans="1:1">
      <c r="A4885" t="str">
        <f t="shared" si="76"/>
        <v/>
      </c>
    </row>
    <row r="4886" spans="1:1">
      <c r="A4886" t="str">
        <f t="shared" si="76"/>
        <v/>
      </c>
    </row>
    <row r="4887" spans="1:1">
      <c r="A4887" t="str">
        <f t="shared" si="76"/>
        <v/>
      </c>
    </row>
    <row r="4888" spans="1:1">
      <c r="A4888" t="str">
        <f t="shared" si="76"/>
        <v/>
      </c>
    </row>
    <row r="4889" spans="1:1">
      <c r="A4889" t="str">
        <f t="shared" si="76"/>
        <v/>
      </c>
    </row>
    <row r="4890" spans="1:1">
      <c r="A4890" t="str">
        <f t="shared" si="76"/>
        <v/>
      </c>
    </row>
    <row r="4891" spans="1:1">
      <c r="A4891" t="str">
        <f t="shared" si="76"/>
        <v/>
      </c>
    </row>
    <row r="4892" spans="1:1">
      <c r="A4892" t="str">
        <f t="shared" si="76"/>
        <v/>
      </c>
    </row>
    <row r="4893" spans="1:1">
      <c r="A4893" t="str">
        <f t="shared" si="76"/>
        <v/>
      </c>
    </row>
    <row r="4894" spans="1:1">
      <c r="A4894" t="str">
        <f t="shared" si="76"/>
        <v/>
      </c>
    </row>
    <row r="4895" spans="1:1">
      <c r="A4895" t="str">
        <f t="shared" si="76"/>
        <v/>
      </c>
    </row>
    <row r="4896" spans="1:1">
      <c r="A4896" t="str">
        <f t="shared" si="76"/>
        <v/>
      </c>
    </row>
    <row r="4897" spans="1:1">
      <c r="A4897" t="str">
        <f t="shared" si="76"/>
        <v/>
      </c>
    </row>
    <row r="4898" spans="1:1">
      <c r="A4898" t="str">
        <f t="shared" si="76"/>
        <v/>
      </c>
    </row>
    <row r="4899" spans="1:1">
      <c r="A4899" t="str">
        <f t="shared" si="76"/>
        <v/>
      </c>
    </row>
    <row r="4900" spans="1:1">
      <c r="A4900" t="str">
        <f t="shared" si="76"/>
        <v/>
      </c>
    </row>
    <row r="4901" spans="1:1">
      <c r="A4901" t="str">
        <f t="shared" si="76"/>
        <v/>
      </c>
    </row>
    <row r="4902" spans="1:1">
      <c r="A4902" t="str">
        <f t="shared" si="76"/>
        <v/>
      </c>
    </row>
    <row r="4903" spans="1:1">
      <c r="A4903" t="str">
        <f t="shared" si="76"/>
        <v/>
      </c>
    </row>
    <row r="4904" spans="1:1">
      <c r="A4904" t="str">
        <f t="shared" si="76"/>
        <v/>
      </c>
    </row>
    <row r="4905" spans="1:1">
      <c r="A4905" t="str">
        <f t="shared" si="76"/>
        <v/>
      </c>
    </row>
    <row r="4906" spans="1:1">
      <c r="A4906" t="str">
        <f t="shared" si="76"/>
        <v/>
      </c>
    </row>
    <row r="4907" spans="1:1">
      <c r="A4907" t="str">
        <f t="shared" si="76"/>
        <v/>
      </c>
    </row>
    <row r="4908" spans="1:1">
      <c r="A4908" t="str">
        <f t="shared" si="76"/>
        <v/>
      </c>
    </row>
    <row r="4909" spans="1:1">
      <c r="A4909" t="str">
        <f t="shared" si="76"/>
        <v/>
      </c>
    </row>
    <row r="4910" spans="1:1">
      <c r="A4910" t="str">
        <f t="shared" si="76"/>
        <v/>
      </c>
    </row>
    <row r="4911" spans="1:1">
      <c r="A4911" t="str">
        <f t="shared" si="76"/>
        <v/>
      </c>
    </row>
    <row r="4912" spans="1:1">
      <c r="A4912" t="str">
        <f t="shared" si="76"/>
        <v/>
      </c>
    </row>
    <row r="4913" spans="1:1">
      <c r="A4913" t="str">
        <f t="shared" si="76"/>
        <v/>
      </c>
    </row>
    <row r="4914" spans="1:1">
      <c r="A4914" t="str">
        <f t="shared" si="76"/>
        <v/>
      </c>
    </row>
    <row r="4915" spans="1:1">
      <c r="A4915" t="str">
        <f t="shared" si="76"/>
        <v/>
      </c>
    </row>
    <row r="4916" spans="1:1">
      <c r="A4916" t="str">
        <f t="shared" si="76"/>
        <v/>
      </c>
    </row>
    <row r="4917" spans="1:1">
      <c r="A4917" t="str">
        <f t="shared" si="76"/>
        <v/>
      </c>
    </row>
    <row r="4918" spans="1:1">
      <c r="A4918" t="str">
        <f t="shared" si="76"/>
        <v/>
      </c>
    </row>
    <row r="4919" spans="1:1">
      <c r="A4919" t="str">
        <f t="shared" si="76"/>
        <v/>
      </c>
    </row>
    <row r="4920" spans="1:1">
      <c r="A4920" t="str">
        <f t="shared" si="76"/>
        <v/>
      </c>
    </row>
    <row r="4921" spans="1:1">
      <c r="A4921" t="str">
        <f t="shared" si="76"/>
        <v/>
      </c>
    </row>
    <row r="4922" spans="1:1">
      <c r="A4922" t="str">
        <f t="shared" si="76"/>
        <v/>
      </c>
    </row>
    <row r="4923" spans="1:1">
      <c r="A4923" t="str">
        <f t="shared" si="76"/>
        <v/>
      </c>
    </row>
    <row r="4924" spans="1:1">
      <c r="A4924" t="str">
        <f t="shared" si="76"/>
        <v/>
      </c>
    </row>
    <row r="4925" spans="1:1">
      <c r="A4925" t="str">
        <f t="shared" si="76"/>
        <v/>
      </c>
    </row>
    <row r="4926" spans="1:1">
      <c r="A4926" t="str">
        <f t="shared" si="76"/>
        <v/>
      </c>
    </row>
    <row r="4927" spans="1:1">
      <c r="A4927" t="str">
        <f t="shared" si="76"/>
        <v/>
      </c>
    </row>
    <row r="4928" spans="1:1">
      <c r="A4928" t="str">
        <f t="shared" ref="A4928:A4991" si="77">CONCATENATE(I4928, B4928)</f>
        <v/>
      </c>
    </row>
    <row r="4929" spans="1:1">
      <c r="A4929" t="str">
        <f t="shared" si="77"/>
        <v/>
      </c>
    </row>
    <row r="4930" spans="1:1">
      <c r="A4930" t="str">
        <f t="shared" si="77"/>
        <v/>
      </c>
    </row>
    <row r="4931" spans="1:1">
      <c r="A4931" t="str">
        <f t="shared" si="77"/>
        <v/>
      </c>
    </row>
    <row r="4932" spans="1:1">
      <c r="A4932" t="str">
        <f t="shared" si="77"/>
        <v/>
      </c>
    </row>
    <row r="4933" spans="1:1">
      <c r="A4933" t="str">
        <f t="shared" si="77"/>
        <v/>
      </c>
    </row>
    <row r="4934" spans="1:1">
      <c r="A4934" t="str">
        <f t="shared" si="77"/>
        <v/>
      </c>
    </row>
    <row r="4935" spans="1:1">
      <c r="A4935" t="str">
        <f t="shared" si="77"/>
        <v/>
      </c>
    </row>
    <row r="4936" spans="1:1">
      <c r="A4936" t="str">
        <f t="shared" si="77"/>
        <v/>
      </c>
    </row>
    <row r="4937" spans="1:1">
      <c r="A4937" t="str">
        <f t="shared" si="77"/>
        <v/>
      </c>
    </row>
    <row r="4938" spans="1:1">
      <c r="A4938" t="str">
        <f t="shared" si="77"/>
        <v/>
      </c>
    </row>
    <row r="4939" spans="1:1">
      <c r="A4939" t="str">
        <f t="shared" si="77"/>
        <v/>
      </c>
    </row>
    <row r="4940" spans="1:1">
      <c r="A4940" t="str">
        <f t="shared" si="77"/>
        <v/>
      </c>
    </row>
    <row r="4941" spans="1:1">
      <c r="A4941" t="str">
        <f t="shared" si="77"/>
        <v/>
      </c>
    </row>
    <row r="4942" spans="1:1">
      <c r="A4942" t="str">
        <f t="shared" si="77"/>
        <v/>
      </c>
    </row>
    <row r="4943" spans="1:1">
      <c r="A4943" t="str">
        <f t="shared" si="77"/>
        <v/>
      </c>
    </row>
    <row r="4944" spans="1:1">
      <c r="A4944" t="str">
        <f t="shared" si="77"/>
        <v/>
      </c>
    </row>
    <row r="4945" spans="1:1">
      <c r="A4945" t="str">
        <f t="shared" si="77"/>
        <v/>
      </c>
    </row>
    <row r="4946" spans="1:1">
      <c r="A4946" t="str">
        <f t="shared" si="77"/>
        <v/>
      </c>
    </row>
    <row r="4947" spans="1:1">
      <c r="A4947" t="str">
        <f t="shared" si="77"/>
        <v/>
      </c>
    </row>
    <row r="4948" spans="1:1">
      <c r="A4948" t="str">
        <f t="shared" si="77"/>
        <v/>
      </c>
    </row>
    <row r="4949" spans="1:1">
      <c r="A4949" t="str">
        <f t="shared" si="77"/>
        <v/>
      </c>
    </row>
    <row r="4950" spans="1:1">
      <c r="A4950" t="str">
        <f t="shared" si="77"/>
        <v/>
      </c>
    </row>
    <row r="4951" spans="1:1">
      <c r="A4951" t="str">
        <f t="shared" si="77"/>
        <v/>
      </c>
    </row>
    <row r="4952" spans="1:1">
      <c r="A4952" t="str">
        <f t="shared" si="77"/>
        <v/>
      </c>
    </row>
    <row r="4953" spans="1:1">
      <c r="A4953" t="str">
        <f t="shared" si="77"/>
        <v/>
      </c>
    </row>
    <row r="4954" spans="1:1">
      <c r="A4954" t="str">
        <f t="shared" si="77"/>
        <v/>
      </c>
    </row>
    <row r="4955" spans="1:1">
      <c r="A4955" t="str">
        <f t="shared" si="77"/>
        <v/>
      </c>
    </row>
    <row r="4956" spans="1:1">
      <c r="A4956" t="str">
        <f t="shared" si="77"/>
        <v/>
      </c>
    </row>
    <row r="4957" spans="1:1">
      <c r="A4957" t="str">
        <f t="shared" si="77"/>
        <v/>
      </c>
    </row>
    <row r="4958" spans="1:1">
      <c r="A4958" t="str">
        <f t="shared" si="77"/>
        <v/>
      </c>
    </row>
    <row r="4959" spans="1:1">
      <c r="A4959" t="str">
        <f t="shared" si="77"/>
        <v/>
      </c>
    </row>
    <row r="4960" spans="1:1">
      <c r="A4960" t="str">
        <f t="shared" si="77"/>
        <v/>
      </c>
    </row>
    <row r="4961" spans="1:1">
      <c r="A4961" t="str">
        <f t="shared" si="77"/>
        <v/>
      </c>
    </row>
    <row r="4962" spans="1:1">
      <c r="A4962" t="str">
        <f t="shared" si="77"/>
        <v/>
      </c>
    </row>
    <row r="4963" spans="1:1">
      <c r="A4963" t="str">
        <f t="shared" si="77"/>
        <v/>
      </c>
    </row>
    <row r="4964" spans="1:1">
      <c r="A4964" t="str">
        <f t="shared" si="77"/>
        <v/>
      </c>
    </row>
    <row r="4965" spans="1:1">
      <c r="A4965" t="str">
        <f t="shared" si="77"/>
        <v/>
      </c>
    </row>
    <row r="4966" spans="1:1">
      <c r="A4966" t="str">
        <f t="shared" si="77"/>
        <v/>
      </c>
    </row>
    <row r="4967" spans="1:1">
      <c r="A4967" t="str">
        <f t="shared" si="77"/>
        <v/>
      </c>
    </row>
    <row r="4968" spans="1:1">
      <c r="A4968" t="str">
        <f t="shared" si="77"/>
        <v/>
      </c>
    </row>
    <row r="4969" spans="1:1">
      <c r="A4969" t="str">
        <f t="shared" si="77"/>
        <v/>
      </c>
    </row>
    <row r="4970" spans="1:1">
      <c r="A4970" t="str">
        <f t="shared" si="77"/>
        <v/>
      </c>
    </row>
    <row r="4971" spans="1:1">
      <c r="A4971" t="str">
        <f t="shared" si="77"/>
        <v/>
      </c>
    </row>
    <row r="4972" spans="1:1">
      <c r="A4972" t="str">
        <f t="shared" si="77"/>
        <v/>
      </c>
    </row>
    <row r="4973" spans="1:1">
      <c r="A4973" t="str">
        <f t="shared" si="77"/>
        <v/>
      </c>
    </row>
    <row r="4974" spans="1:1">
      <c r="A4974" t="str">
        <f t="shared" si="77"/>
        <v/>
      </c>
    </row>
    <row r="4975" spans="1:1">
      <c r="A4975" t="str">
        <f t="shared" si="77"/>
        <v/>
      </c>
    </row>
    <row r="4976" spans="1:1">
      <c r="A4976" t="str">
        <f t="shared" si="77"/>
        <v/>
      </c>
    </row>
    <row r="4977" spans="1:1">
      <c r="A4977" t="str">
        <f t="shared" si="77"/>
        <v/>
      </c>
    </row>
    <row r="4978" spans="1:1">
      <c r="A4978" t="str">
        <f t="shared" si="77"/>
        <v/>
      </c>
    </row>
    <row r="4979" spans="1:1">
      <c r="A4979" t="str">
        <f t="shared" si="77"/>
        <v/>
      </c>
    </row>
    <row r="4980" spans="1:1">
      <c r="A4980" t="str">
        <f t="shared" si="77"/>
        <v/>
      </c>
    </row>
    <row r="4981" spans="1:1">
      <c r="A4981" t="str">
        <f t="shared" si="77"/>
        <v/>
      </c>
    </row>
    <row r="4982" spans="1:1">
      <c r="A4982" t="str">
        <f t="shared" si="77"/>
        <v/>
      </c>
    </row>
    <row r="4983" spans="1:1">
      <c r="A4983" t="str">
        <f t="shared" si="77"/>
        <v/>
      </c>
    </row>
    <row r="4984" spans="1:1">
      <c r="A4984" t="str">
        <f t="shared" si="77"/>
        <v/>
      </c>
    </row>
    <row r="4985" spans="1:1">
      <c r="A4985" t="str">
        <f t="shared" si="77"/>
        <v/>
      </c>
    </row>
    <row r="4986" spans="1:1">
      <c r="A4986" t="str">
        <f t="shared" si="77"/>
        <v/>
      </c>
    </row>
    <row r="4987" spans="1:1">
      <c r="A4987" t="str">
        <f t="shared" si="77"/>
        <v/>
      </c>
    </row>
    <row r="4988" spans="1:1">
      <c r="A4988" t="str">
        <f t="shared" si="77"/>
        <v/>
      </c>
    </row>
    <row r="4989" spans="1:1">
      <c r="A4989" t="str">
        <f t="shared" si="77"/>
        <v/>
      </c>
    </row>
    <row r="4990" spans="1:1">
      <c r="A4990" t="str">
        <f t="shared" si="77"/>
        <v/>
      </c>
    </row>
    <row r="4991" spans="1:1">
      <c r="A4991" t="str">
        <f t="shared" si="77"/>
        <v/>
      </c>
    </row>
    <row r="4992" spans="1:1">
      <c r="A4992" t="str">
        <f t="shared" ref="A4992:A5055" si="78">CONCATENATE(I4992, B4992)</f>
        <v/>
      </c>
    </row>
    <row r="4993" spans="1:1">
      <c r="A4993" t="str">
        <f t="shared" si="78"/>
        <v/>
      </c>
    </row>
    <row r="4994" spans="1:1">
      <c r="A4994" t="str">
        <f t="shared" si="78"/>
        <v/>
      </c>
    </row>
    <row r="4995" spans="1:1">
      <c r="A4995" t="str">
        <f t="shared" si="78"/>
        <v/>
      </c>
    </row>
    <row r="4996" spans="1:1">
      <c r="A4996" t="str">
        <f t="shared" si="78"/>
        <v/>
      </c>
    </row>
    <row r="4997" spans="1:1">
      <c r="A4997" t="str">
        <f t="shared" si="78"/>
        <v/>
      </c>
    </row>
    <row r="4998" spans="1:1">
      <c r="A4998" t="str">
        <f t="shared" si="78"/>
        <v/>
      </c>
    </row>
    <row r="4999" spans="1:1">
      <c r="A4999" t="str">
        <f t="shared" si="78"/>
        <v/>
      </c>
    </row>
    <row r="5000" spans="1:1">
      <c r="A5000" t="str">
        <f t="shared" si="78"/>
        <v/>
      </c>
    </row>
    <row r="5001" spans="1:1">
      <c r="A5001" t="str">
        <f t="shared" si="78"/>
        <v/>
      </c>
    </row>
    <row r="5002" spans="1:1">
      <c r="A5002" t="str">
        <f t="shared" si="78"/>
        <v/>
      </c>
    </row>
    <row r="5003" spans="1:1">
      <c r="A5003" t="str">
        <f t="shared" si="78"/>
        <v/>
      </c>
    </row>
    <row r="5004" spans="1:1">
      <c r="A5004" t="str">
        <f t="shared" si="78"/>
        <v/>
      </c>
    </row>
    <row r="5005" spans="1:1">
      <c r="A5005" t="str">
        <f t="shared" si="78"/>
        <v/>
      </c>
    </row>
    <row r="5006" spans="1:1">
      <c r="A5006" t="str">
        <f t="shared" si="78"/>
        <v/>
      </c>
    </row>
    <row r="5007" spans="1:1">
      <c r="A5007" t="str">
        <f t="shared" si="78"/>
        <v/>
      </c>
    </row>
    <row r="5008" spans="1:1">
      <c r="A5008" t="str">
        <f t="shared" si="78"/>
        <v/>
      </c>
    </row>
    <row r="5009" spans="1:1">
      <c r="A5009" t="str">
        <f t="shared" si="78"/>
        <v/>
      </c>
    </row>
    <row r="5010" spans="1:1">
      <c r="A5010" t="str">
        <f t="shared" si="78"/>
        <v/>
      </c>
    </row>
    <row r="5011" spans="1:1">
      <c r="A5011" t="str">
        <f t="shared" si="78"/>
        <v/>
      </c>
    </row>
    <row r="5012" spans="1:1">
      <c r="A5012" t="str">
        <f t="shared" si="78"/>
        <v/>
      </c>
    </row>
    <row r="5013" spans="1:1">
      <c r="A5013" t="str">
        <f t="shared" si="78"/>
        <v/>
      </c>
    </row>
    <row r="5014" spans="1:1">
      <c r="A5014" t="str">
        <f t="shared" si="78"/>
        <v/>
      </c>
    </row>
    <row r="5015" spans="1:1">
      <c r="A5015" t="str">
        <f t="shared" si="78"/>
        <v/>
      </c>
    </row>
    <row r="5016" spans="1:1">
      <c r="A5016" t="str">
        <f t="shared" si="78"/>
        <v/>
      </c>
    </row>
    <row r="5017" spans="1:1">
      <c r="A5017" t="str">
        <f t="shared" si="78"/>
        <v/>
      </c>
    </row>
    <row r="5018" spans="1:1">
      <c r="A5018" t="str">
        <f t="shared" si="78"/>
        <v/>
      </c>
    </row>
    <row r="5019" spans="1:1">
      <c r="A5019" t="str">
        <f t="shared" si="78"/>
        <v/>
      </c>
    </row>
    <row r="5020" spans="1:1">
      <c r="A5020" t="str">
        <f t="shared" si="78"/>
        <v/>
      </c>
    </row>
    <row r="5021" spans="1:1">
      <c r="A5021" t="str">
        <f t="shared" si="78"/>
        <v/>
      </c>
    </row>
    <row r="5022" spans="1:1">
      <c r="A5022" t="str">
        <f t="shared" si="78"/>
        <v/>
      </c>
    </row>
    <row r="5023" spans="1:1">
      <c r="A5023" t="str">
        <f t="shared" si="78"/>
        <v/>
      </c>
    </row>
    <row r="5024" spans="1:1">
      <c r="A5024" t="str">
        <f t="shared" si="78"/>
        <v/>
      </c>
    </row>
    <row r="5025" spans="1:1">
      <c r="A5025" t="str">
        <f t="shared" si="78"/>
        <v/>
      </c>
    </row>
    <row r="5026" spans="1:1">
      <c r="A5026" t="str">
        <f t="shared" si="78"/>
        <v/>
      </c>
    </row>
    <row r="5027" spans="1:1">
      <c r="A5027" t="str">
        <f t="shared" si="78"/>
        <v/>
      </c>
    </row>
    <row r="5028" spans="1:1">
      <c r="A5028" t="str">
        <f t="shared" si="78"/>
        <v/>
      </c>
    </row>
    <row r="5029" spans="1:1">
      <c r="A5029" t="str">
        <f t="shared" si="78"/>
        <v/>
      </c>
    </row>
    <row r="5030" spans="1:1">
      <c r="A5030" t="str">
        <f t="shared" si="78"/>
        <v/>
      </c>
    </row>
    <row r="5031" spans="1:1">
      <c r="A5031" t="str">
        <f t="shared" si="78"/>
        <v/>
      </c>
    </row>
    <row r="5032" spans="1:1">
      <c r="A5032" t="str">
        <f t="shared" si="78"/>
        <v/>
      </c>
    </row>
    <row r="5033" spans="1:1">
      <c r="A5033" t="str">
        <f t="shared" si="78"/>
        <v/>
      </c>
    </row>
    <row r="5034" spans="1:1">
      <c r="A5034" t="str">
        <f t="shared" si="78"/>
        <v/>
      </c>
    </row>
    <row r="5035" spans="1:1">
      <c r="A5035" t="str">
        <f t="shared" si="78"/>
        <v/>
      </c>
    </row>
    <row r="5036" spans="1:1">
      <c r="A5036" t="str">
        <f t="shared" si="78"/>
        <v/>
      </c>
    </row>
    <row r="5037" spans="1:1">
      <c r="A5037" t="str">
        <f t="shared" si="78"/>
        <v/>
      </c>
    </row>
    <row r="5038" spans="1:1">
      <c r="A5038" t="str">
        <f t="shared" si="78"/>
        <v/>
      </c>
    </row>
    <row r="5039" spans="1:1">
      <c r="A5039" t="str">
        <f t="shared" si="78"/>
        <v/>
      </c>
    </row>
    <row r="5040" spans="1:1">
      <c r="A5040" t="str">
        <f t="shared" si="78"/>
        <v/>
      </c>
    </row>
    <row r="5041" spans="1:1">
      <c r="A5041" t="str">
        <f t="shared" si="78"/>
        <v/>
      </c>
    </row>
    <row r="5042" spans="1:1">
      <c r="A5042" t="str">
        <f t="shared" si="78"/>
        <v/>
      </c>
    </row>
    <row r="5043" spans="1:1">
      <c r="A5043" t="str">
        <f t="shared" si="78"/>
        <v/>
      </c>
    </row>
    <row r="5044" spans="1:1">
      <c r="A5044" t="str">
        <f t="shared" si="78"/>
        <v/>
      </c>
    </row>
    <row r="5045" spans="1:1">
      <c r="A5045" t="str">
        <f t="shared" si="78"/>
        <v/>
      </c>
    </row>
    <row r="5046" spans="1:1">
      <c r="A5046" t="str">
        <f t="shared" si="78"/>
        <v/>
      </c>
    </row>
    <row r="5047" spans="1:1">
      <c r="A5047" t="str">
        <f t="shared" si="78"/>
        <v/>
      </c>
    </row>
    <row r="5048" spans="1:1">
      <c r="A5048" t="str">
        <f t="shared" si="78"/>
        <v/>
      </c>
    </row>
    <row r="5049" spans="1:1">
      <c r="A5049" t="str">
        <f t="shared" si="78"/>
        <v/>
      </c>
    </row>
    <row r="5050" spans="1:1">
      <c r="A5050" t="str">
        <f t="shared" si="78"/>
        <v/>
      </c>
    </row>
    <row r="5051" spans="1:1">
      <c r="A5051" t="str">
        <f t="shared" si="78"/>
        <v/>
      </c>
    </row>
    <row r="5052" spans="1:1">
      <c r="A5052" t="str">
        <f t="shared" si="78"/>
        <v/>
      </c>
    </row>
    <row r="5053" spans="1:1">
      <c r="A5053" t="str">
        <f t="shared" si="78"/>
        <v/>
      </c>
    </row>
    <row r="5054" spans="1:1">
      <c r="A5054" t="str">
        <f t="shared" si="78"/>
        <v/>
      </c>
    </row>
    <row r="5055" spans="1:1">
      <c r="A5055" t="str">
        <f t="shared" si="78"/>
        <v/>
      </c>
    </row>
    <row r="5056" spans="1:1">
      <c r="A5056" t="str">
        <f t="shared" ref="A5056:A5119" si="79">CONCATENATE(I5056, B5056)</f>
        <v/>
      </c>
    </row>
    <row r="5057" spans="1:1">
      <c r="A5057" t="str">
        <f t="shared" si="79"/>
        <v/>
      </c>
    </row>
    <row r="5058" spans="1:1">
      <c r="A5058" t="str">
        <f t="shared" si="79"/>
        <v/>
      </c>
    </row>
    <row r="5059" spans="1:1">
      <c r="A5059" t="str">
        <f t="shared" si="79"/>
        <v/>
      </c>
    </row>
    <row r="5060" spans="1:1">
      <c r="A5060" t="str">
        <f t="shared" si="79"/>
        <v/>
      </c>
    </row>
    <row r="5061" spans="1:1">
      <c r="A5061" t="str">
        <f t="shared" si="79"/>
        <v/>
      </c>
    </row>
    <row r="5062" spans="1:1">
      <c r="A5062" t="str">
        <f t="shared" si="79"/>
        <v/>
      </c>
    </row>
    <row r="5063" spans="1:1">
      <c r="A5063" t="str">
        <f t="shared" si="79"/>
        <v/>
      </c>
    </row>
    <row r="5064" spans="1:1">
      <c r="A5064" t="str">
        <f t="shared" si="79"/>
        <v/>
      </c>
    </row>
    <row r="5065" spans="1:1">
      <c r="A5065" t="str">
        <f t="shared" si="79"/>
        <v/>
      </c>
    </row>
    <row r="5066" spans="1:1">
      <c r="A5066" t="str">
        <f t="shared" si="79"/>
        <v/>
      </c>
    </row>
    <row r="5067" spans="1:1">
      <c r="A5067" t="str">
        <f t="shared" si="79"/>
        <v/>
      </c>
    </row>
    <row r="5068" spans="1:1">
      <c r="A5068" t="str">
        <f t="shared" si="79"/>
        <v/>
      </c>
    </row>
    <row r="5069" spans="1:1">
      <c r="A5069" t="str">
        <f t="shared" si="79"/>
        <v/>
      </c>
    </row>
    <row r="5070" spans="1:1">
      <c r="A5070" t="str">
        <f t="shared" si="79"/>
        <v/>
      </c>
    </row>
    <row r="5071" spans="1:1">
      <c r="A5071" t="str">
        <f t="shared" si="79"/>
        <v/>
      </c>
    </row>
    <row r="5072" spans="1:1">
      <c r="A5072" t="str">
        <f t="shared" si="79"/>
        <v/>
      </c>
    </row>
    <row r="5073" spans="1:1">
      <c r="A5073" t="str">
        <f t="shared" si="79"/>
        <v/>
      </c>
    </row>
    <row r="5074" spans="1:1">
      <c r="A5074" t="str">
        <f t="shared" si="79"/>
        <v/>
      </c>
    </row>
    <row r="5075" spans="1:1">
      <c r="A5075" t="str">
        <f t="shared" si="79"/>
        <v/>
      </c>
    </row>
    <row r="5076" spans="1:1">
      <c r="A5076" t="str">
        <f t="shared" si="79"/>
        <v/>
      </c>
    </row>
    <row r="5077" spans="1:1">
      <c r="A5077" t="str">
        <f t="shared" si="79"/>
        <v/>
      </c>
    </row>
    <row r="5078" spans="1:1">
      <c r="A5078" t="str">
        <f t="shared" si="79"/>
        <v/>
      </c>
    </row>
    <row r="5079" spans="1:1">
      <c r="A5079" t="str">
        <f t="shared" si="79"/>
        <v/>
      </c>
    </row>
    <row r="5080" spans="1:1">
      <c r="A5080" t="str">
        <f t="shared" si="79"/>
        <v/>
      </c>
    </row>
    <row r="5081" spans="1:1">
      <c r="A5081" t="str">
        <f t="shared" si="79"/>
        <v/>
      </c>
    </row>
    <row r="5082" spans="1:1">
      <c r="A5082" t="str">
        <f t="shared" si="79"/>
        <v/>
      </c>
    </row>
    <row r="5083" spans="1:1">
      <c r="A5083" t="str">
        <f t="shared" si="79"/>
        <v/>
      </c>
    </row>
    <row r="5084" spans="1:1">
      <c r="A5084" t="str">
        <f t="shared" si="79"/>
        <v/>
      </c>
    </row>
    <row r="5085" spans="1:1">
      <c r="A5085" t="str">
        <f t="shared" si="79"/>
        <v/>
      </c>
    </row>
    <row r="5086" spans="1:1">
      <c r="A5086" t="str">
        <f t="shared" si="79"/>
        <v/>
      </c>
    </row>
    <row r="5087" spans="1:1">
      <c r="A5087" t="str">
        <f t="shared" si="79"/>
        <v/>
      </c>
    </row>
    <row r="5088" spans="1:1">
      <c r="A5088" t="str">
        <f t="shared" si="79"/>
        <v/>
      </c>
    </row>
    <row r="5089" spans="1:1">
      <c r="A5089" t="str">
        <f t="shared" si="79"/>
        <v/>
      </c>
    </row>
    <row r="5090" spans="1:1">
      <c r="A5090" t="str">
        <f t="shared" si="79"/>
        <v/>
      </c>
    </row>
    <row r="5091" spans="1:1">
      <c r="A5091" t="str">
        <f t="shared" si="79"/>
        <v/>
      </c>
    </row>
    <row r="5092" spans="1:1">
      <c r="A5092" t="str">
        <f t="shared" si="79"/>
        <v/>
      </c>
    </row>
    <row r="5093" spans="1:1">
      <c r="A5093" t="str">
        <f t="shared" si="79"/>
        <v/>
      </c>
    </row>
    <row r="5094" spans="1:1">
      <c r="A5094" t="str">
        <f t="shared" si="79"/>
        <v/>
      </c>
    </row>
    <row r="5095" spans="1:1">
      <c r="A5095" t="str">
        <f t="shared" si="79"/>
        <v/>
      </c>
    </row>
    <row r="5096" spans="1:1">
      <c r="A5096" t="str">
        <f t="shared" si="79"/>
        <v/>
      </c>
    </row>
    <row r="5097" spans="1:1">
      <c r="A5097" t="str">
        <f t="shared" si="79"/>
        <v/>
      </c>
    </row>
    <row r="5098" spans="1:1">
      <c r="A5098" t="str">
        <f t="shared" si="79"/>
        <v/>
      </c>
    </row>
    <row r="5099" spans="1:1">
      <c r="A5099" t="str">
        <f t="shared" si="79"/>
        <v/>
      </c>
    </row>
    <row r="5100" spans="1:1">
      <c r="A5100" t="str">
        <f t="shared" si="79"/>
        <v/>
      </c>
    </row>
    <row r="5101" spans="1:1">
      <c r="A5101" t="str">
        <f t="shared" si="79"/>
        <v/>
      </c>
    </row>
    <row r="5102" spans="1:1">
      <c r="A5102" t="str">
        <f t="shared" si="79"/>
        <v/>
      </c>
    </row>
    <row r="5103" spans="1:1">
      <c r="A5103" t="str">
        <f t="shared" si="79"/>
        <v/>
      </c>
    </row>
    <row r="5104" spans="1:1">
      <c r="A5104" t="str">
        <f t="shared" si="79"/>
        <v/>
      </c>
    </row>
    <row r="5105" spans="1:1">
      <c r="A5105" t="str">
        <f t="shared" si="79"/>
        <v/>
      </c>
    </row>
    <row r="5106" spans="1:1">
      <c r="A5106" t="str">
        <f t="shared" si="79"/>
        <v/>
      </c>
    </row>
    <row r="5107" spans="1:1">
      <c r="A5107" t="str">
        <f t="shared" si="79"/>
        <v/>
      </c>
    </row>
    <row r="5108" spans="1:1">
      <c r="A5108" t="str">
        <f t="shared" si="79"/>
        <v/>
      </c>
    </row>
    <row r="5109" spans="1:1">
      <c r="A5109" t="str">
        <f t="shared" si="79"/>
        <v/>
      </c>
    </row>
    <row r="5110" spans="1:1">
      <c r="A5110" t="str">
        <f t="shared" si="79"/>
        <v/>
      </c>
    </row>
    <row r="5111" spans="1:1">
      <c r="A5111" t="str">
        <f t="shared" si="79"/>
        <v/>
      </c>
    </row>
    <row r="5112" spans="1:1">
      <c r="A5112" t="str">
        <f t="shared" si="79"/>
        <v/>
      </c>
    </row>
    <row r="5113" spans="1:1">
      <c r="A5113" t="str">
        <f t="shared" si="79"/>
        <v/>
      </c>
    </row>
    <row r="5114" spans="1:1">
      <c r="A5114" t="str">
        <f t="shared" si="79"/>
        <v/>
      </c>
    </row>
    <row r="5115" spans="1:1">
      <c r="A5115" t="str">
        <f t="shared" si="79"/>
        <v/>
      </c>
    </row>
    <row r="5116" spans="1:1">
      <c r="A5116" t="str">
        <f t="shared" si="79"/>
        <v/>
      </c>
    </row>
    <row r="5117" spans="1:1">
      <c r="A5117" t="str">
        <f t="shared" si="79"/>
        <v/>
      </c>
    </row>
    <row r="5118" spans="1:1">
      <c r="A5118" t="str">
        <f t="shared" si="79"/>
        <v/>
      </c>
    </row>
    <row r="5119" spans="1:1">
      <c r="A5119" t="str">
        <f t="shared" si="79"/>
        <v/>
      </c>
    </row>
    <row r="5120" spans="1:1">
      <c r="A5120" t="str">
        <f t="shared" ref="A5120:A5183" si="80">CONCATENATE(I5120, B5120)</f>
        <v/>
      </c>
    </row>
    <row r="5121" spans="1:1">
      <c r="A5121" t="str">
        <f t="shared" si="80"/>
        <v/>
      </c>
    </row>
    <row r="5122" spans="1:1">
      <c r="A5122" t="str">
        <f t="shared" si="80"/>
        <v/>
      </c>
    </row>
    <row r="5123" spans="1:1">
      <c r="A5123" t="str">
        <f t="shared" si="80"/>
        <v/>
      </c>
    </row>
    <row r="5124" spans="1:1">
      <c r="A5124" t="str">
        <f t="shared" si="80"/>
        <v/>
      </c>
    </row>
    <row r="5125" spans="1:1">
      <c r="A5125" t="str">
        <f t="shared" si="80"/>
        <v/>
      </c>
    </row>
    <row r="5126" spans="1:1">
      <c r="A5126" t="str">
        <f t="shared" si="80"/>
        <v/>
      </c>
    </row>
    <row r="5127" spans="1:1">
      <c r="A5127" t="str">
        <f t="shared" si="80"/>
        <v/>
      </c>
    </row>
    <row r="5128" spans="1:1">
      <c r="A5128" t="str">
        <f t="shared" si="80"/>
        <v/>
      </c>
    </row>
    <row r="5129" spans="1:1">
      <c r="A5129" t="str">
        <f t="shared" si="80"/>
        <v/>
      </c>
    </row>
    <row r="5130" spans="1:1">
      <c r="A5130" t="str">
        <f t="shared" si="80"/>
        <v/>
      </c>
    </row>
    <row r="5131" spans="1:1">
      <c r="A5131" t="str">
        <f t="shared" si="80"/>
        <v/>
      </c>
    </row>
    <row r="5132" spans="1:1">
      <c r="A5132" t="str">
        <f t="shared" si="80"/>
        <v/>
      </c>
    </row>
    <row r="5133" spans="1:1">
      <c r="A5133" t="str">
        <f t="shared" si="80"/>
        <v/>
      </c>
    </row>
    <row r="5134" spans="1:1">
      <c r="A5134" t="str">
        <f t="shared" si="80"/>
        <v/>
      </c>
    </row>
    <row r="5135" spans="1:1">
      <c r="A5135" t="str">
        <f t="shared" si="80"/>
        <v/>
      </c>
    </row>
    <row r="5136" spans="1:1">
      <c r="A5136" t="str">
        <f t="shared" si="80"/>
        <v/>
      </c>
    </row>
    <row r="5137" spans="1:1">
      <c r="A5137" t="str">
        <f t="shared" si="80"/>
        <v/>
      </c>
    </row>
    <row r="5138" spans="1:1">
      <c r="A5138" t="str">
        <f t="shared" si="80"/>
        <v/>
      </c>
    </row>
    <row r="5139" spans="1:1">
      <c r="A5139" t="str">
        <f t="shared" si="80"/>
        <v/>
      </c>
    </row>
    <row r="5140" spans="1:1">
      <c r="A5140" t="str">
        <f t="shared" si="80"/>
        <v/>
      </c>
    </row>
    <row r="5141" spans="1:1">
      <c r="A5141" t="str">
        <f t="shared" si="80"/>
        <v/>
      </c>
    </row>
    <row r="5142" spans="1:1">
      <c r="A5142" t="str">
        <f t="shared" si="80"/>
        <v/>
      </c>
    </row>
    <row r="5143" spans="1:1">
      <c r="A5143" t="str">
        <f t="shared" si="80"/>
        <v/>
      </c>
    </row>
    <row r="5144" spans="1:1">
      <c r="A5144" t="str">
        <f t="shared" si="80"/>
        <v/>
      </c>
    </row>
    <row r="5145" spans="1:1">
      <c r="A5145" t="str">
        <f t="shared" si="80"/>
        <v/>
      </c>
    </row>
    <row r="5146" spans="1:1">
      <c r="A5146" t="str">
        <f t="shared" si="80"/>
        <v/>
      </c>
    </row>
    <row r="5147" spans="1:1">
      <c r="A5147" t="str">
        <f t="shared" si="80"/>
        <v/>
      </c>
    </row>
    <row r="5148" spans="1:1">
      <c r="A5148" t="str">
        <f t="shared" si="80"/>
        <v/>
      </c>
    </row>
    <row r="5149" spans="1:1">
      <c r="A5149" t="str">
        <f t="shared" si="80"/>
        <v/>
      </c>
    </row>
    <row r="5150" spans="1:1">
      <c r="A5150" t="str">
        <f t="shared" si="80"/>
        <v/>
      </c>
    </row>
    <row r="5151" spans="1:1">
      <c r="A5151" t="str">
        <f t="shared" si="80"/>
        <v/>
      </c>
    </row>
    <row r="5152" spans="1:1">
      <c r="A5152" t="str">
        <f t="shared" si="80"/>
        <v/>
      </c>
    </row>
    <row r="5153" spans="1:1">
      <c r="A5153" t="str">
        <f t="shared" si="80"/>
        <v/>
      </c>
    </row>
    <row r="5154" spans="1:1">
      <c r="A5154" t="str">
        <f t="shared" si="80"/>
        <v/>
      </c>
    </row>
    <row r="5155" spans="1:1">
      <c r="A5155" t="str">
        <f t="shared" si="80"/>
        <v/>
      </c>
    </row>
    <row r="5156" spans="1:1">
      <c r="A5156" t="str">
        <f t="shared" si="80"/>
        <v/>
      </c>
    </row>
    <row r="5157" spans="1:1">
      <c r="A5157" t="str">
        <f t="shared" si="80"/>
        <v/>
      </c>
    </row>
    <row r="5158" spans="1:1">
      <c r="A5158" t="str">
        <f t="shared" si="80"/>
        <v/>
      </c>
    </row>
    <row r="5159" spans="1:1">
      <c r="A5159" t="str">
        <f t="shared" si="80"/>
        <v/>
      </c>
    </row>
    <row r="5160" spans="1:1">
      <c r="A5160" t="str">
        <f t="shared" si="80"/>
        <v/>
      </c>
    </row>
    <row r="5161" spans="1:1">
      <c r="A5161" t="str">
        <f t="shared" si="80"/>
        <v/>
      </c>
    </row>
    <row r="5162" spans="1:1">
      <c r="A5162" t="str">
        <f t="shared" si="80"/>
        <v/>
      </c>
    </row>
    <row r="5163" spans="1:1">
      <c r="A5163" t="str">
        <f t="shared" si="80"/>
        <v/>
      </c>
    </row>
    <row r="5164" spans="1:1">
      <c r="A5164" t="str">
        <f t="shared" si="80"/>
        <v/>
      </c>
    </row>
    <row r="5165" spans="1:1">
      <c r="A5165" t="str">
        <f t="shared" si="80"/>
        <v/>
      </c>
    </row>
    <row r="5166" spans="1:1">
      <c r="A5166" t="str">
        <f t="shared" si="80"/>
        <v/>
      </c>
    </row>
    <row r="5167" spans="1:1">
      <c r="A5167" t="str">
        <f t="shared" si="80"/>
        <v/>
      </c>
    </row>
    <row r="5168" spans="1:1">
      <c r="A5168" t="str">
        <f t="shared" si="80"/>
        <v/>
      </c>
    </row>
    <row r="5169" spans="1:1">
      <c r="A5169" t="str">
        <f t="shared" si="80"/>
        <v/>
      </c>
    </row>
    <row r="5170" spans="1:1">
      <c r="A5170" t="str">
        <f t="shared" si="80"/>
        <v/>
      </c>
    </row>
    <row r="5171" spans="1:1">
      <c r="A5171" t="str">
        <f t="shared" si="80"/>
        <v/>
      </c>
    </row>
    <row r="5172" spans="1:1">
      <c r="A5172" t="str">
        <f t="shared" si="80"/>
        <v/>
      </c>
    </row>
    <row r="5173" spans="1:1">
      <c r="A5173" t="str">
        <f t="shared" si="80"/>
        <v/>
      </c>
    </row>
    <row r="5174" spans="1:1">
      <c r="A5174" t="str">
        <f t="shared" si="80"/>
        <v/>
      </c>
    </row>
    <row r="5175" spans="1:1">
      <c r="A5175" t="str">
        <f t="shared" si="80"/>
        <v/>
      </c>
    </row>
    <row r="5176" spans="1:1">
      <c r="A5176" t="str">
        <f t="shared" si="80"/>
        <v/>
      </c>
    </row>
    <row r="5177" spans="1:1">
      <c r="A5177" t="str">
        <f t="shared" si="80"/>
        <v/>
      </c>
    </row>
    <row r="5178" spans="1:1">
      <c r="A5178" t="str">
        <f t="shared" si="80"/>
        <v/>
      </c>
    </row>
    <row r="5179" spans="1:1">
      <c r="A5179" t="str">
        <f t="shared" si="80"/>
        <v/>
      </c>
    </row>
    <row r="5180" spans="1:1">
      <c r="A5180" t="str">
        <f t="shared" si="80"/>
        <v/>
      </c>
    </row>
    <row r="5181" spans="1:1">
      <c r="A5181" t="str">
        <f t="shared" si="80"/>
        <v/>
      </c>
    </row>
    <row r="5182" spans="1:1">
      <c r="A5182" t="str">
        <f t="shared" si="80"/>
        <v/>
      </c>
    </row>
    <row r="5183" spans="1:1">
      <c r="A5183" t="str">
        <f t="shared" si="80"/>
        <v/>
      </c>
    </row>
    <row r="5184" spans="1:1">
      <c r="A5184" t="str">
        <f t="shared" ref="A5184:A5247" si="81">CONCATENATE(I5184, B5184)</f>
        <v/>
      </c>
    </row>
    <row r="5185" spans="1:1">
      <c r="A5185" t="str">
        <f t="shared" si="81"/>
        <v/>
      </c>
    </row>
    <row r="5186" spans="1:1">
      <c r="A5186" t="str">
        <f t="shared" si="81"/>
        <v/>
      </c>
    </row>
    <row r="5187" spans="1:1">
      <c r="A5187" t="str">
        <f t="shared" si="81"/>
        <v/>
      </c>
    </row>
    <row r="5188" spans="1:1">
      <c r="A5188" t="str">
        <f t="shared" si="81"/>
        <v/>
      </c>
    </row>
    <row r="5189" spans="1:1">
      <c r="A5189" t="str">
        <f t="shared" si="81"/>
        <v/>
      </c>
    </row>
    <row r="5190" spans="1:1">
      <c r="A5190" t="str">
        <f t="shared" si="81"/>
        <v/>
      </c>
    </row>
    <row r="5191" spans="1:1">
      <c r="A5191" t="str">
        <f t="shared" si="81"/>
        <v/>
      </c>
    </row>
    <row r="5192" spans="1:1">
      <c r="A5192" t="str">
        <f t="shared" si="81"/>
        <v/>
      </c>
    </row>
    <row r="5193" spans="1:1">
      <c r="A5193" t="str">
        <f t="shared" si="81"/>
        <v/>
      </c>
    </row>
    <row r="5194" spans="1:1">
      <c r="A5194" t="str">
        <f t="shared" si="81"/>
        <v/>
      </c>
    </row>
    <row r="5195" spans="1:1">
      <c r="A5195" t="str">
        <f t="shared" si="81"/>
        <v/>
      </c>
    </row>
    <row r="5196" spans="1:1">
      <c r="A5196" t="str">
        <f t="shared" si="81"/>
        <v/>
      </c>
    </row>
    <row r="5197" spans="1:1">
      <c r="A5197" t="str">
        <f t="shared" si="81"/>
        <v/>
      </c>
    </row>
    <row r="5198" spans="1:1">
      <c r="A5198" t="str">
        <f t="shared" si="81"/>
        <v/>
      </c>
    </row>
    <row r="5199" spans="1:1">
      <c r="A5199" t="str">
        <f t="shared" si="81"/>
        <v/>
      </c>
    </row>
    <row r="5200" spans="1:1">
      <c r="A5200" t="str">
        <f t="shared" si="81"/>
        <v/>
      </c>
    </row>
    <row r="5201" spans="1:1">
      <c r="A5201" t="str">
        <f t="shared" si="81"/>
        <v/>
      </c>
    </row>
    <row r="5202" spans="1:1">
      <c r="A5202" t="str">
        <f t="shared" si="81"/>
        <v/>
      </c>
    </row>
    <row r="5203" spans="1:1">
      <c r="A5203" t="str">
        <f t="shared" si="81"/>
        <v/>
      </c>
    </row>
    <row r="5204" spans="1:1">
      <c r="A5204" t="str">
        <f t="shared" si="81"/>
        <v/>
      </c>
    </row>
    <row r="5205" spans="1:1">
      <c r="A5205" t="str">
        <f t="shared" si="81"/>
        <v/>
      </c>
    </row>
    <row r="5206" spans="1:1">
      <c r="A5206" t="str">
        <f t="shared" si="81"/>
        <v/>
      </c>
    </row>
    <row r="5207" spans="1:1">
      <c r="A5207" t="str">
        <f t="shared" si="81"/>
        <v/>
      </c>
    </row>
    <row r="5208" spans="1:1">
      <c r="A5208" t="str">
        <f t="shared" si="81"/>
        <v/>
      </c>
    </row>
    <row r="5209" spans="1:1">
      <c r="A5209" t="str">
        <f t="shared" si="81"/>
        <v/>
      </c>
    </row>
    <row r="5210" spans="1:1">
      <c r="A5210" t="str">
        <f t="shared" si="81"/>
        <v/>
      </c>
    </row>
    <row r="5211" spans="1:1">
      <c r="A5211" t="str">
        <f t="shared" si="81"/>
        <v/>
      </c>
    </row>
    <row r="5212" spans="1:1">
      <c r="A5212" t="str">
        <f t="shared" si="81"/>
        <v/>
      </c>
    </row>
    <row r="5213" spans="1:1">
      <c r="A5213" t="str">
        <f t="shared" si="81"/>
        <v/>
      </c>
    </row>
    <row r="5214" spans="1:1">
      <c r="A5214" t="str">
        <f t="shared" si="81"/>
        <v/>
      </c>
    </row>
    <row r="5215" spans="1:1">
      <c r="A5215" t="str">
        <f t="shared" si="81"/>
        <v/>
      </c>
    </row>
    <row r="5216" spans="1:1">
      <c r="A5216" t="str">
        <f t="shared" si="81"/>
        <v/>
      </c>
    </row>
    <row r="5217" spans="1:1">
      <c r="A5217" t="str">
        <f t="shared" si="81"/>
        <v/>
      </c>
    </row>
    <row r="5218" spans="1:1">
      <c r="A5218" t="str">
        <f t="shared" si="81"/>
        <v/>
      </c>
    </row>
    <row r="5219" spans="1:1">
      <c r="A5219" t="str">
        <f t="shared" si="81"/>
        <v/>
      </c>
    </row>
    <row r="5220" spans="1:1">
      <c r="A5220" t="str">
        <f t="shared" si="81"/>
        <v/>
      </c>
    </row>
    <row r="5221" spans="1:1">
      <c r="A5221" t="str">
        <f t="shared" si="81"/>
        <v/>
      </c>
    </row>
    <row r="5222" spans="1:1">
      <c r="A5222" t="str">
        <f t="shared" si="81"/>
        <v/>
      </c>
    </row>
    <row r="5223" spans="1:1">
      <c r="A5223" t="str">
        <f t="shared" si="81"/>
        <v/>
      </c>
    </row>
    <row r="5224" spans="1:1">
      <c r="A5224" t="str">
        <f t="shared" si="81"/>
        <v/>
      </c>
    </row>
    <row r="5225" spans="1:1">
      <c r="A5225" t="str">
        <f t="shared" si="81"/>
        <v/>
      </c>
    </row>
    <row r="5226" spans="1:1">
      <c r="A5226" t="str">
        <f t="shared" si="81"/>
        <v/>
      </c>
    </row>
    <row r="5227" spans="1:1">
      <c r="A5227" t="str">
        <f t="shared" si="81"/>
        <v/>
      </c>
    </row>
    <row r="5228" spans="1:1">
      <c r="A5228" t="str">
        <f t="shared" si="81"/>
        <v/>
      </c>
    </row>
    <row r="5229" spans="1:1">
      <c r="A5229" t="str">
        <f t="shared" si="81"/>
        <v/>
      </c>
    </row>
    <row r="5230" spans="1:1">
      <c r="A5230" t="str">
        <f t="shared" si="81"/>
        <v/>
      </c>
    </row>
    <row r="5231" spans="1:1">
      <c r="A5231" t="str">
        <f t="shared" si="81"/>
        <v/>
      </c>
    </row>
    <row r="5232" spans="1:1">
      <c r="A5232" t="str">
        <f t="shared" si="81"/>
        <v/>
      </c>
    </row>
    <row r="5233" spans="1:1">
      <c r="A5233" t="str">
        <f t="shared" si="81"/>
        <v/>
      </c>
    </row>
    <row r="5234" spans="1:1">
      <c r="A5234" t="str">
        <f t="shared" si="81"/>
        <v/>
      </c>
    </row>
    <row r="5235" spans="1:1">
      <c r="A5235" t="str">
        <f t="shared" si="81"/>
        <v/>
      </c>
    </row>
    <row r="5236" spans="1:1">
      <c r="A5236" t="str">
        <f t="shared" si="81"/>
        <v/>
      </c>
    </row>
    <row r="5237" spans="1:1">
      <c r="A5237" t="str">
        <f t="shared" si="81"/>
        <v/>
      </c>
    </row>
    <row r="5238" spans="1:1">
      <c r="A5238" t="str">
        <f t="shared" si="81"/>
        <v/>
      </c>
    </row>
    <row r="5239" spans="1:1">
      <c r="A5239" t="str">
        <f t="shared" si="81"/>
        <v/>
      </c>
    </row>
    <row r="5240" spans="1:1">
      <c r="A5240" t="str">
        <f t="shared" si="81"/>
        <v/>
      </c>
    </row>
    <row r="5241" spans="1:1">
      <c r="A5241" t="str">
        <f t="shared" si="81"/>
        <v/>
      </c>
    </row>
    <row r="5242" spans="1:1">
      <c r="A5242" t="str">
        <f t="shared" si="81"/>
        <v/>
      </c>
    </row>
    <row r="5243" spans="1:1">
      <c r="A5243" t="str">
        <f t="shared" si="81"/>
        <v/>
      </c>
    </row>
    <row r="5244" spans="1:1">
      <c r="A5244" t="str">
        <f t="shared" si="81"/>
        <v/>
      </c>
    </row>
    <row r="5245" spans="1:1">
      <c r="A5245" t="str">
        <f t="shared" si="81"/>
        <v/>
      </c>
    </row>
    <row r="5246" spans="1:1">
      <c r="A5246" t="str">
        <f t="shared" si="81"/>
        <v/>
      </c>
    </row>
    <row r="5247" spans="1:1">
      <c r="A5247" t="str">
        <f t="shared" si="81"/>
        <v/>
      </c>
    </row>
    <row r="5248" spans="1:1">
      <c r="A5248" t="str">
        <f t="shared" ref="A5248:A5311" si="82">CONCATENATE(I5248, B5248)</f>
        <v/>
      </c>
    </row>
    <row r="5249" spans="1:1">
      <c r="A5249" t="str">
        <f t="shared" si="82"/>
        <v/>
      </c>
    </row>
    <row r="5250" spans="1:1">
      <c r="A5250" t="str">
        <f t="shared" si="82"/>
        <v/>
      </c>
    </row>
    <row r="5251" spans="1:1">
      <c r="A5251" t="str">
        <f t="shared" si="82"/>
        <v/>
      </c>
    </row>
    <row r="5252" spans="1:1">
      <c r="A5252" t="str">
        <f t="shared" si="82"/>
        <v/>
      </c>
    </row>
    <row r="5253" spans="1:1">
      <c r="A5253" t="str">
        <f t="shared" si="82"/>
        <v/>
      </c>
    </row>
    <row r="5254" spans="1:1">
      <c r="A5254" t="str">
        <f t="shared" si="82"/>
        <v/>
      </c>
    </row>
    <row r="5255" spans="1:1">
      <c r="A5255" t="str">
        <f t="shared" si="82"/>
        <v/>
      </c>
    </row>
    <row r="5256" spans="1:1">
      <c r="A5256" t="str">
        <f t="shared" si="82"/>
        <v/>
      </c>
    </row>
    <row r="5257" spans="1:1">
      <c r="A5257" t="str">
        <f t="shared" si="82"/>
        <v/>
      </c>
    </row>
    <row r="5258" spans="1:1">
      <c r="A5258" t="str">
        <f t="shared" si="82"/>
        <v/>
      </c>
    </row>
    <row r="5259" spans="1:1">
      <c r="A5259" t="str">
        <f t="shared" si="82"/>
        <v/>
      </c>
    </row>
    <row r="5260" spans="1:1">
      <c r="A5260" t="str">
        <f t="shared" si="82"/>
        <v/>
      </c>
    </row>
    <row r="5261" spans="1:1">
      <c r="A5261" t="str">
        <f t="shared" si="82"/>
        <v/>
      </c>
    </row>
    <row r="5262" spans="1:1">
      <c r="A5262" t="str">
        <f t="shared" si="82"/>
        <v/>
      </c>
    </row>
    <row r="5263" spans="1:1">
      <c r="A5263" t="str">
        <f t="shared" si="82"/>
        <v/>
      </c>
    </row>
    <row r="5264" spans="1:1">
      <c r="A5264" t="str">
        <f t="shared" si="82"/>
        <v/>
      </c>
    </row>
    <row r="5265" spans="1:1">
      <c r="A5265" t="str">
        <f t="shared" si="82"/>
        <v/>
      </c>
    </row>
    <row r="5266" spans="1:1">
      <c r="A5266" t="str">
        <f t="shared" si="82"/>
        <v/>
      </c>
    </row>
    <row r="5267" spans="1:1">
      <c r="A5267" t="str">
        <f t="shared" si="82"/>
        <v/>
      </c>
    </row>
    <row r="5268" spans="1:1">
      <c r="A5268" t="str">
        <f t="shared" si="82"/>
        <v/>
      </c>
    </row>
    <row r="5269" spans="1:1">
      <c r="A5269" t="str">
        <f t="shared" si="82"/>
        <v/>
      </c>
    </row>
    <row r="5270" spans="1:1">
      <c r="A5270" t="str">
        <f t="shared" si="82"/>
        <v/>
      </c>
    </row>
    <row r="5271" spans="1:1">
      <c r="A5271" t="str">
        <f t="shared" si="82"/>
        <v/>
      </c>
    </row>
    <row r="5272" spans="1:1">
      <c r="A5272" t="str">
        <f t="shared" si="82"/>
        <v/>
      </c>
    </row>
    <row r="5273" spans="1:1">
      <c r="A5273" t="str">
        <f t="shared" si="82"/>
        <v/>
      </c>
    </row>
    <row r="5274" spans="1:1">
      <c r="A5274" t="str">
        <f t="shared" si="82"/>
        <v/>
      </c>
    </row>
    <row r="5275" spans="1:1">
      <c r="A5275" t="str">
        <f t="shared" si="82"/>
        <v/>
      </c>
    </row>
    <row r="5276" spans="1:1">
      <c r="A5276" t="str">
        <f t="shared" si="82"/>
        <v/>
      </c>
    </row>
    <row r="5277" spans="1:1">
      <c r="A5277" t="str">
        <f t="shared" si="82"/>
        <v/>
      </c>
    </row>
    <row r="5278" spans="1:1">
      <c r="A5278" t="str">
        <f t="shared" si="82"/>
        <v/>
      </c>
    </row>
    <row r="5279" spans="1:1">
      <c r="A5279" t="str">
        <f t="shared" si="82"/>
        <v/>
      </c>
    </row>
    <row r="5280" spans="1:1">
      <c r="A5280" t="str">
        <f t="shared" si="82"/>
        <v/>
      </c>
    </row>
    <row r="5281" spans="1:1">
      <c r="A5281" t="str">
        <f t="shared" si="82"/>
        <v/>
      </c>
    </row>
    <row r="5282" spans="1:1">
      <c r="A5282" t="str">
        <f t="shared" si="82"/>
        <v/>
      </c>
    </row>
    <row r="5283" spans="1:1">
      <c r="A5283" t="str">
        <f t="shared" si="82"/>
        <v/>
      </c>
    </row>
    <row r="5284" spans="1:1">
      <c r="A5284" t="str">
        <f t="shared" si="82"/>
        <v/>
      </c>
    </row>
    <row r="5285" spans="1:1">
      <c r="A5285" t="str">
        <f t="shared" si="82"/>
        <v/>
      </c>
    </row>
    <row r="5286" spans="1:1">
      <c r="A5286" t="str">
        <f t="shared" si="82"/>
        <v/>
      </c>
    </row>
    <row r="5287" spans="1:1">
      <c r="A5287" t="str">
        <f t="shared" si="82"/>
        <v/>
      </c>
    </row>
    <row r="5288" spans="1:1">
      <c r="A5288" t="str">
        <f t="shared" si="82"/>
        <v/>
      </c>
    </row>
    <row r="5289" spans="1:1">
      <c r="A5289" t="str">
        <f t="shared" si="82"/>
        <v/>
      </c>
    </row>
    <row r="5290" spans="1:1">
      <c r="A5290" t="str">
        <f t="shared" si="82"/>
        <v/>
      </c>
    </row>
    <row r="5291" spans="1:1">
      <c r="A5291" t="str">
        <f t="shared" si="82"/>
        <v/>
      </c>
    </row>
    <row r="5292" spans="1:1">
      <c r="A5292" t="str">
        <f t="shared" si="82"/>
        <v/>
      </c>
    </row>
    <row r="5293" spans="1:1">
      <c r="A5293" t="str">
        <f t="shared" si="82"/>
        <v/>
      </c>
    </row>
    <row r="5294" spans="1:1">
      <c r="A5294" t="str">
        <f t="shared" si="82"/>
        <v/>
      </c>
    </row>
    <row r="5295" spans="1:1">
      <c r="A5295" t="str">
        <f t="shared" si="82"/>
        <v/>
      </c>
    </row>
    <row r="5296" spans="1:1">
      <c r="A5296" t="str">
        <f t="shared" si="82"/>
        <v/>
      </c>
    </row>
    <row r="5297" spans="1:1">
      <c r="A5297" t="str">
        <f t="shared" si="82"/>
        <v/>
      </c>
    </row>
    <row r="5298" spans="1:1">
      <c r="A5298" t="str">
        <f t="shared" si="82"/>
        <v/>
      </c>
    </row>
    <row r="5299" spans="1:1">
      <c r="A5299" t="str">
        <f t="shared" si="82"/>
        <v/>
      </c>
    </row>
    <row r="5300" spans="1:1">
      <c r="A5300" t="str">
        <f t="shared" si="82"/>
        <v/>
      </c>
    </row>
    <row r="5301" spans="1:1">
      <c r="A5301" t="str">
        <f t="shared" si="82"/>
        <v/>
      </c>
    </row>
    <row r="5302" spans="1:1">
      <c r="A5302" t="str">
        <f t="shared" si="82"/>
        <v/>
      </c>
    </row>
    <row r="5303" spans="1:1">
      <c r="A5303" t="str">
        <f t="shared" si="82"/>
        <v/>
      </c>
    </row>
    <row r="5304" spans="1:1">
      <c r="A5304" t="str">
        <f t="shared" si="82"/>
        <v/>
      </c>
    </row>
    <row r="5305" spans="1:1">
      <c r="A5305" t="str">
        <f t="shared" si="82"/>
        <v/>
      </c>
    </row>
    <row r="5306" spans="1:1">
      <c r="A5306" t="str">
        <f t="shared" si="82"/>
        <v/>
      </c>
    </row>
    <row r="5307" spans="1:1">
      <c r="A5307" t="str">
        <f t="shared" si="82"/>
        <v/>
      </c>
    </row>
    <row r="5308" spans="1:1">
      <c r="A5308" t="str">
        <f t="shared" si="82"/>
        <v/>
      </c>
    </row>
    <row r="5309" spans="1:1">
      <c r="A5309" t="str">
        <f t="shared" si="82"/>
        <v/>
      </c>
    </row>
    <row r="5310" spans="1:1">
      <c r="A5310" t="str">
        <f t="shared" si="82"/>
        <v/>
      </c>
    </row>
    <row r="5311" spans="1:1">
      <c r="A5311" t="str">
        <f t="shared" si="82"/>
        <v/>
      </c>
    </row>
    <row r="5312" spans="1:1">
      <c r="A5312" t="str">
        <f t="shared" ref="A5312:A5375" si="83">CONCATENATE(I5312, B5312)</f>
        <v/>
      </c>
    </row>
    <row r="5313" spans="1:1">
      <c r="A5313" t="str">
        <f t="shared" si="83"/>
        <v/>
      </c>
    </row>
    <row r="5314" spans="1:1">
      <c r="A5314" t="str">
        <f t="shared" si="83"/>
        <v/>
      </c>
    </row>
    <row r="5315" spans="1:1">
      <c r="A5315" t="str">
        <f t="shared" si="83"/>
        <v/>
      </c>
    </row>
    <row r="5316" spans="1:1">
      <c r="A5316" t="str">
        <f t="shared" si="83"/>
        <v/>
      </c>
    </row>
    <row r="5317" spans="1:1">
      <c r="A5317" t="str">
        <f t="shared" si="83"/>
        <v/>
      </c>
    </row>
    <row r="5318" spans="1:1">
      <c r="A5318" t="str">
        <f t="shared" si="83"/>
        <v/>
      </c>
    </row>
    <row r="5319" spans="1:1">
      <c r="A5319" t="str">
        <f t="shared" si="83"/>
        <v/>
      </c>
    </row>
    <row r="5320" spans="1:1">
      <c r="A5320" t="str">
        <f t="shared" si="83"/>
        <v/>
      </c>
    </row>
    <row r="5321" spans="1:1">
      <c r="A5321" t="str">
        <f t="shared" si="83"/>
        <v/>
      </c>
    </row>
    <row r="5322" spans="1:1">
      <c r="A5322" t="str">
        <f t="shared" si="83"/>
        <v/>
      </c>
    </row>
    <row r="5323" spans="1:1">
      <c r="A5323" t="str">
        <f t="shared" si="83"/>
        <v/>
      </c>
    </row>
    <row r="5324" spans="1:1">
      <c r="A5324" t="str">
        <f t="shared" si="83"/>
        <v/>
      </c>
    </row>
    <row r="5325" spans="1:1">
      <c r="A5325" t="str">
        <f t="shared" si="83"/>
        <v/>
      </c>
    </row>
    <row r="5326" spans="1:1">
      <c r="A5326" t="str">
        <f t="shared" si="83"/>
        <v/>
      </c>
    </row>
    <row r="5327" spans="1:1">
      <c r="A5327" t="str">
        <f t="shared" si="83"/>
        <v/>
      </c>
    </row>
    <row r="5328" spans="1:1">
      <c r="A5328" t="str">
        <f t="shared" si="83"/>
        <v/>
      </c>
    </row>
    <row r="5329" spans="1:1">
      <c r="A5329" t="str">
        <f t="shared" si="83"/>
        <v/>
      </c>
    </row>
    <row r="5330" spans="1:1">
      <c r="A5330" t="str">
        <f t="shared" si="83"/>
        <v/>
      </c>
    </row>
    <row r="5331" spans="1:1">
      <c r="A5331" t="str">
        <f t="shared" si="83"/>
        <v/>
      </c>
    </row>
    <row r="5332" spans="1:1">
      <c r="A5332" t="str">
        <f t="shared" si="83"/>
        <v/>
      </c>
    </row>
    <row r="5333" spans="1:1">
      <c r="A5333" t="str">
        <f t="shared" si="83"/>
        <v/>
      </c>
    </row>
    <row r="5334" spans="1:1">
      <c r="A5334" t="str">
        <f t="shared" si="83"/>
        <v/>
      </c>
    </row>
    <row r="5335" spans="1:1">
      <c r="A5335" t="str">
        <f t="shared" si="83"/>
        <v/>
      </c>
    </row>
    <row r="5336" spans="1:1">
      <c r="A5336" t="str">
        <f t="shared" si="83"/>
        <v/>
      </c>
    </row>
    <row r="5337" spans="1:1">
      <c r="A5337" t="str">
        <f t="shared" si="83"/>
        <v/>
      </c>
    </row>
    <row r="5338" spans="1:1">
      <c r="A5338" t="str">
        <f t="shared" si="83"/>
        <v/>
      </c>
    </row>
    <row r="5339" spans="1:1">
      <c r="A5339" t="str">
        <f t="shared" si="83"/>
        <v/>
      </c>
    </row>
    <row r="5340" spans="1:1">
      <c r="A5340" t="str">
        <f t="shared" si="83"/>
        <v/>
      </c>
    </row>
    <row r="5341" spans="1:1">
      <c r="A5341" t="str">
        <f t="shared" si="83"/>
        <v/>
      </c>
    </row>
    <row r="5342" spans="1:1">
      <c r="A5342" t="str">
        <f t="shared" si="83"/>
        <v/>
      </c>
    </row>
    <row r="5343" spans="1:1">
      <c r="A5343" t="str">
        <f t="shared" si="83"/>
        <v/>
      </c>
    </row>
    <row r="5344" spans="1:1">
      <c r="A5344" t="str">
        <f t="shared" si="83"/>
        <v/>
      </c>
    </row>
    <row r="5345" spans="1:1">
      <c r="A5345" t="str">
        <f t="shared" si="83"/>
        <v/>
      </c>
    </row>
    <row r="5346" spans="1:1">
      <c r="A5346" t="str">
        <f t="shared" si="83"/>
        <v/>
      </c>
    </row>
    <row r="5347" spans="1:1">
      <c r="A5347" t="str">
        <f t="shared" si="83"/>
        <v/>
      </c>
    </row>
    <row r="5348" spans="1:1">
      <c r="A5348" t="str">
        <f t="shared" si="83"/>
        <v/>
      </c>
    </row>
    <row r="5349" spans="1:1">
      <c r="A5349" t="str">
        <f t="shared" si="83"/>
        <v/>
      </c>
    </row>
    <row r="5350" spans="1:1">
      <c r="A5350" t="str">
        <f t="shared" si="83"/>
        <v/>
      </c>
    </row>
    <row r="5351" spans="1:1">
      <c r="A5351" t="str">
        <f t="shared" si="83"/>
        <v/>
      </c>
    </row>
    <row r="5352" spans="1:1">
      <c r="A5352" t="str">
        <f t="shared" si="83"/>
        <v/>
      </c>
    </row>
    <row r="5353" spans="1:1">
      <c r="A5353" t="str">
        <f t="shared" si="83"/>
        <v/>
      </c>
    </row>
    <row r="5354" spans="1:1">
      <c r="A5354" t="str">
        <f t="shared" si="83"/>
        <v/>
      </c>
    </row>
    <row r="5355" spans="1:1">
      <c r="A5355" t="str">
        <f t="shared" si="83"/>
        <v/>
      </c>
    </row>
    <row r="5356" spans="1:1">
      <c r="A5356" t="str">
        <f t="shared" si="83"/>
        <v/>
      </c>
    </row>
    <row r="5357" spans="1:1">
      <c r="A5357" t="str">
        <f t="shared" si="83"/>
        <v/>
      </c>
    </row>
    <row r="5358" spans="1:1">
      <c r="A5358" t="str">
        <f t="shared" si="83"/>
        <v/>
      </c>
    </row>
    <row r="5359" spans="1:1">
      <c r="A5359" t="str">
        <f t="shared" si="83"/>
        <v/>
      </c>
    </row>
    <row r="5360" spans="1:1">
      <c r="A5360" t="str">
        <f t="shared" si="83"/>
        <v/>
      </c>
    </row>
    <row r="5361" spans="1:1">
      <c r="A5361" t="str">
        <f t="shared" si="83"/>
        <v/>
      </c>
    </row>
    <row r="5362" spans="1:1">
      <c r="A5362" t="str">
        <f t="shared" si="83"/>
        <v/>
      </c>
    </row>
    <row r="5363" spans="1:1">
      <c r="A5363" t="str">
        <f t="shared" si="83"/>
        <v/>
      </c>
    </row>
    <row r="5364" spans="1:1">
      <c r="A5364" t="str">
        <f t="shared" si="83"/>
        <v/>
      </c>
    </row>
    <row r="5365" spans="1:1">
      <c r="A5365" t="str">
        <f t="shared" si="83"/>
        <v/>
      </c>
    </row>
    <row r="5366" spans="1:1">
      <c r="A5366" t="str">
        <f t="shared" si="83"/>
        <v/>
      </c>
    </row>
    <row r="5367" spans="1:1">
      <c r="A5367" t="str">
        <f t="shared" si="83"/>
        <v/>
      </c>
    </row>
    <row r="5368" spans="1:1">
      <c r="A5368" t="str">
        <f t="shared" si="83"/>
        <v/>
      </c>
    </row>
    <row r="5369" spans="1:1">
      <c r="A5369" t="str">
        <f t="shared" si="83"/>
        <v/>
      </c>
    </row>
    <row r="5370" spans="1:1">
      <c r="A5370" t="str">
        <f t="shared" si="83"/>
        <v/>
      </c>
    </row>
    <row r="5371" spans="1:1">
      <c r="A5371" t="str">
        <f t="shared" si="83"/>
        <v/>
      </c>
    </row>
    <row r="5372" spans="1:1">
      <c r="A5372" t="str">
        <f t="shared" si="83"/>
        <v/>
      </c>
    </row>
    <row r="5373" spans="1:1">
      <c r="A5373" t="str">
        <f t="shared" si="83"/>
        <v/>
      </c>
    </row>
    <row r="5374" spans="1:1">
      <c r="A5374" t="str">
        <f t="shared" si="83"/>
        <v/>
      </c>
    </row>
    <row r="5375" spans="1:1">
      <c r="A5375" t="str">
        <f t="shared" si="83"/>
        <v/>
      </c>
    </row>
    <row r="5376" spans="1:1">
      <c r="A5376" t="str">
        <f t="shared" ref="A5376:A5439" si="84">CONCATENATE(I5376, B5376)</f>
        <v/>
      </c>
    </row>
    <row r="5377" spans="1:1">
      <c r="A5377" t="str">
        <f t="shared" si="84"/>
        <v/>
      </c>
    </row>
    <row r="5378" spans="1:1">
      <c r="A5378" t="str">
        <f t="shared" si="84"/>
        <v/>
      </c>
    </row>
    <row r="5379" spans="1:1">
      <c r="A5379" t="str">
        <f t="shared" si="84"/>
        <v/>
      </c>
    </row>
    <row r="5380" spans="1:1">
      <c r="A5380" t="str">
        <f t="shared" si="84"/>
        <v/>
      </c>
    </row>
    <row r="5381" spans="1:1">
      <c r="A5381" t="str">
        <f t="shared" si="84"/>
        <v/>
      </c>
    </row>
    <row r="5382" spans="1:1">
      <c r="A5382" t="str">
        <f t="shared" si="84"/>
        <v/>
      </c>
    </row>
    <row r="5383" spans="1:1">
      <c r="A5383" t="str">
        <f t="shared" si="84"/>
        <v/>
      </c>
    </row>
    <row r="5384" spans="1:1">
      <c r="A5384" t="str">
        <f t="shared" si="84"/>
        <v/>
      </c>
    </row>
    <row r="5385" spans="1:1">
      <c r="A5385" t="str">
        <f t="shared" si="84"/>
        <v/>
      </c>
    </row>
    <row r="5386" spans="1:1">
      <c r="A5386" t="str">
        <f t="shared" si="84"/>
        <v/>
      </c>
    </row>
    <row r="5387" spans="1:1">
      <c r="A5387" t="str">
        <f t="shared" si="84"/>
        <v/>
      </c>
    </row>
    <row r="5388" spans="1:1">
      <c r="A5388" t="str">
        <f t="shared" si="84"/>
        <v/>
      </c>
    </row>
    <row r="5389" spans="1:1">
      <c r="A5389" t="str">
        <f t="shared" si="84"/>
        <v/>
      </c>
    </row>
    <row r="5390" spans="1:1">
      <c r="A5390" t="str">
        <f t="shared" si="84"/>
        <v/>
      </c>
    </row>
    <row r="5391" spans="1:1">
      <c r="A5391" t="str">
        <f t="shared" si="84"/>
        <v/>
      </c>
    </row>
    <row r="5392" spans="1:1">
      <c r="A5392" t="str">
        <f t="shared" si="84"/>
        <v/>
      </c>
    </row>
    <row r="5393" spans="1:1">
      <c r="A5393" t="str">
        <f t="shared" si="84"/>
        <v/>
      </c>
    </row>
    <row r="5394" spans="1:1">
      <c r="A5394" t="str">
        <f t="shared" si="84"/>
        <v/>
      </c>
    </row>
    <row r="5395" spans="1:1">
      <c r="A5395" t="str">
        <f t="shared" si="84"/>
        <v/>
      </c>
    </row>
    <row r="5396" spans="1:1">
      <c r="A5396" t="str">
        <f t="shared" si="84"/>
        <v/>
      </c>
    </row>
    <row r="5397" spans="1:1">
      <c r="A5397" t="str">
        <f t="shared" si="84"/>
        <v/>
      </c>
    </row>
    <row r="5398" spans="1:1">
      <c r="A5398" t="str">
        <f t="shared" si="84"/>
        <v/>
      </c>
    </row>
    <row r="5399" spans="1:1">
      <c r="A5399" t="str">
        <f t="shared" si="84"/>
        <v/>
      </c>
    </row>
    <row r="5400" spans="1:1">
      <c r="A5400" t="str">
        <f t="shared" si="84"/>
        <v/>
      </c>
    </row>
    <row r="5401" spans="1:1">
      <c r="A5401" t="str">
        <f t="shared" si="84"/>
        <v/>
      </c>
    </row>
    <row r="5402" spans="1:1">
      <c r="A5402" t="str">
        <f t="shared" si="84"/>
        <v/>
      </c>
    </row>
    <row r="5403" spans="1:1">
      <c r="A5403" t="str">
        <f t="shared" si="84"/>
        <v/>
      </c>
    </row>
    <row r="5404" spans="1:1">
      <c r="A5404" t="str">
        <f t="shared" si="84"/>
        <v/>
      </c>
    </row>
    <row r="5405" spans="1:1">
      <c r="A5405" t="str">
        <f t="shared" si="84"/>
        <v/>
      </c>
    </row>
    <row r="5406" spans="1:1">
      <c r="A5406" t="str">
        <f t="shared" si="84"/>
        <v/>
      </c>
    </row>
    <row r="5407" spans="1:1">
      <c r="A5407" t="str">
        <f t="shared" si="84"/>
        <v/>
      </c>
    </row>
    <row r="5408" spans="1:1">
      <c r="A5408" t="str">
        <f t="shared" si="84"/>
        <v/>
      </c>
    </row>
    <row r="5409" spans="1:1">
      <c r="A5409" t="str">
        <f t="shared" si="84"/>
        <v/>
      </c>
    </row>
    <row r="5410" spans="1:1">
      <c r="A5410" t="str">
        <f t="shared" si="84"/>
        <v/>
      </c>
    </row>
    <row r="5411" spans="1:1">
      <c r="A5411" t="str">
        <f t="shared" si="84"/>
        <v/>
      </c>
    </row>
    <row r="5412" spans="1:1">
      <c r="A5412" t="str">
        <f t="shared" si="84"/>
        <v/>
      </c>
    </row>
    <row r="5413" spans="1:1">
      <c r="A5413" t="str">
        <f t="shared" si="84"/>
        <v/>
      </c>
    </row>
    <row r="5414" spans="1:1">
      <c r="A5414" t="str">
        <f t="shared" si="84"/>
        <v/>
      </c>
    </row>
    <row r="5415" spans="1:1">
      <c r="A5415" t="str">
        <f t="shared" si="84"/>
        <v/>
      </c>
    </row>
    <row r="5416" spans="1:1">
      <c r="A5416" t="str">
        <f t="shared" si="84"/>
        <v/>
      </c>
    </row>
    <row r="5417" spans="1:1">
      <c r="A5417" t="str">
        <f t="shared" si="84"/>
        <v/>
      </c>
    </row>
    <row r="5418" spans="1:1">
      <c r="A5418" t="str">
        <f t="shared" si="84"/>
        <v/>
      </c>
    </row>
    <row r="5419" spans="1:1">
      <c r="A5419" t="str">
        <f t="shared" si="84"/>
        <v/>
      </c>
    </row>
    <row r="5420" spans="1:1">
      <c r="A5420" t="str">
        <f t="shared" si="84"/>
        <v/>
      </c>
    </row>
    <row r="5421" spans="1:1">
      <c r="A5421" t="str">
        <f t="shared" si="84"/>
        <v/>
      </c>
    </row>
    <row r="5422" spans="1:1">
      <c r="A5422" t="str">
        <f t="shared" si="84"/>
        <v/>
      </c>
    </row>
    <row r="5423" spans="1:1">
      <c r="A5423" t="str">
        <f t="shared" si="84"/>
        <v/>
      </c>
    </row>
    <row r="5424" spans="1:1">
      <c r="A5424" t="str">
        <f t="shared" si="84"/>
        <v/>
      </c>
    </row>
    <row r="5425" spans="1:1">
      <c r="A5425" t="str">
        <f t="shared" si="84"/>
        <v/>
      </c>
    </row>
    <row r="5426" spans="1:1">
      <c r="A5426" t="str">
        <f t="shared" si="84"/>
        <v/>
      </c>
    </row>
    <row r="5427" spans="1:1">
      <c r="A5427" t="str">
        <f t="shared" si="84"/>
        <v/>
      </c>
    </row>
    <row r="5428" spans="1:1">
      <c r="A5428" t="str">
        <f t="shared" si="84"/>
        <v/>
      </c>
    </row>
    <row r="5429" spans="1:1">
      <c r="A5429" t="str">
        <f t="shared" si="84"/>
        <v/>
      </c>
    </row>
    <row r="5430" spans="1:1">
      <c r="A5430" t="str">
        <f t="shared" si="84"/>
        <v/>
      </c>
    </row>
    <row r="5431" spans="1:1">
      <c r="A5431" t="str">
        <f t="shared" si="84"/>
        <v/>
      </c>
    </row>
    <row r="5432" spans="1:1">
      <c r="A5432" t="str">
        <f t="shared" si="84"/>
        <v/>
      </c>
    </row>
    <row r="5433" spans="1:1">
      <c r="A5433" t="str">
        <f t="shared" si="84"/>
        <v/>
      </c>
    </row>
    <row r="5434" spans="1:1">
      <c r="A5434" t="str">
        <f t="shared" si="84"/>
        <v/>
      </c>
    </row>
    <row r="5435" spans="1:1">
      <c r="A5435" t="str">
        <f t="shared" si="84"/>
        <v/>
      </c>
    </row>
    <row r="5436" spans="1:1">
      <c r="A5436" t="str">
        <f t="shared" si="84"/>
        <v/>
      </c>
    </row>
    <row r="5437" spans="1:1">
      <c r="A5437" t="str">
        <f t="shared" si="84"/>
        <v/>
      </c>
    </row>
    <row r="5438" spans="1:1">
      <c r="A5438" t="str">
        <f t="shared" si="84"/>
        <v/>
      </c>
    </row>
    <row r="5439" spans="1:1">
      <c r="A5439" t="str">
        <f t="shared" si="84"/>
        <v/>
      </c>
    </row>
    <row r="5440" spans="1:1">
      <c r="A5440" t="str">
        <f t="shared" ref="A5440:A5503" si="85">CONCATENATE(I5440, B5440)</f>
        <v/>
      </c>
    </row>
    <row r="5441" spans="1:1">
      <c r="A5441" t="str">
        <f t="shared" si="85"/>
        <v/>
      </c>
    </row>
    <row r="5442" spans="1:1">
      <c r="A5442" t="str">
        <f t="shared" si="85"/>
        <v/>
      </c>
    </row>
    <row r="5443" spans="1:1">
      <c r="A5443" t="str">
        <f t="shared" si="85"/>
        <v/>
      </c>
    </row>
    <row r="5444" spans="1:1">
      <c r="A5444" t="str">
        <f t="shared" si="85"/>
        <v/>
      </c>
    </row>
    <row r="5445" spans="1:1">
      <c r="A5445" t="str">
        <f t="shared" si="85"/>
        <v/>
      </c>
    </row>
    <row r="5446" spans="1:1">
      <c r="A5446" t="str">
        <f t="shared" si="85"/>
        <v/>
      </c>
    </row>
    <row r="5447" spans="1:1">
      <c r="A5447" t="str">
        <f t="shared" si="85"/>
        <v/>
      </c>
    </row>
    <row r="5448" spans="1:1">
      <c r="A5448" t="str">
        <f t="shared" si="85"/>
        <v/>
      </c>
    </row>
    <row r="5449" spans="1:1">
      <c r="A5449" t="str">
        <f t="shared" si="85"/>
        <v/>
      </c>
    </row>
    <row r="5450" spans="1:1">
      <c r="A5450" t="str">
        <f t="shared" si="85"/>
        <v/>
      </c>
    </row>
    <row r="5451" spans="1:1">
      <c r="A5451" t="str">
        <f t="shared" si="85"/>
        <v/>
      </c>
    </row>
    <row r="5452" spans="1:1">
      <c r="A5452" t="str">
        <f t="shared" si="85"/>
        <v/>
      </c>
    </row>
    <row r="5453" spans="1:1">
      <c r="A5453" t="str">
        <f t="shared" si="85"/>
        <v/>
      </c>
    </row>
    <row r="5454" spans="1:1">
      <c r="A5454" t="str">
        <f t="shared" si="85"/>
        <v/>
      </c>
    </row>
    <row r="5455" spans="1:1">
      <c r="A5455" t="str">
        <f t="shared" si="85"/>
        <v/>
      </c>
    </row>
    <row r="5456" spans="1:1">
      <c r="A5456" t="str">
        <f t="shared" si="85"/>
        <v/>
      </c>
    </row>
    <row r="5457" spans="1:1">
      <c r="A5457" t="str">
        <f t="shared" si="85"/>
        <v/>
      </c>
    </row>
    <row r="5458" spans="1:1">
      <c r="A5458" t="str">
        <f t="shared" si="85"/>
        <v/>
      </c>
    </row>
    <row r="5459" spans="1:1">
      <c r="A5459" t="str">
        <f t="shared" si="85"/>
        <v/>
      </c>
    </row>
    <row r="5460" spans="1:1">
      <c r="A5460" t="str">
        <f t="shared" si="85"/>
        <v/>
      </c>
    </row>
    <row r="5461" spans="1:1">
      <c r="A5461" t="str">
        <f t="shared" si="85"/>
        <v/>
      </c>
    </row>
    <row r="5462" spans="1:1">
      <c r="A5462" t="str">
        <f t="shared" si="85"/>
        <v/>
      </c>
    </row>
    <row r="5463" spans="1:1">
      <c r="A5463" t="str">
        <f t="shared" si="85"/>
        <v/>
      </c>
    </row>
    <row r="5464" spans="1:1">
      <c r="A5464" t="str">
        <f t="shared" si="85"/>
        <v/>
      </c>
    </row>
    <row r="5465" spans="1:1">
      <c r="A5465" t="str">
        <f t="shared" si="85"/>
        <v/>
      </c>
    </row>
    <row r="5466" spans="1:1">
      <c r="A5466" t="str">
        <f t="shared" si="85"/>
        <v/>
      </c>
    </row>
    <row r="5467" spans="1:1">
      <c r="A5467" t="str">
        <f t="shared" si="85"/>
        <v/>
      </c>
    </row>
    <row r="5468" spans="1:1">
      <c r="A5468" t="str">
        <f t="shared" si="85"/>
        <v/>
      </c>
    </row>
    <row r="5469" spans="1:1">
      <c r="A5469" t="str">
        <f t="shared" si="85"/>
        <v/>
      </c>
    </row>
    <row r="5470" spans="1:1">
      <c r="A5470" t="str">
        <f t="shared" si="85"/>
        <v/>
      </c>
    </row>
    <row r="5471" spans="1:1">
      <c r="A5471" t="str">
        <f t="shared" si="85"/>
        <v/>
      </c>
    </row>
    <row r="5472" spans="1:1">
      <c r="A5472" t="str">
        <f t="shared" si="85"/>
        <v/>
      </c>
    </row>
    <row r="5473" spans="1:1">
      <c r="A5473" t="str">
        <f t="shared" si="85"/>
        <v/>
      </c>
    </row>
    <row r="5474" spans="1:1">
      <c r="A5474" t="str">
        <f t="shared" si="85"/>
        <v/>
      </c>
    </row>
    <row r="5475" spans="1:1">
      <c r="A5475" t="str">
        <f t="shared" si="85"/>
        <v/>
      </c>
    </row>
    <row r="5476" spans="1:1">
      <c r="A5476" t="str">
        <f t="shared" si="85"/>
        <v/>
      </c>
    </row>
    <row r="5477" spans="1:1">
      <c r="A5477" t="str">
        <f t="shared" si="85"/>
        <v/>
      </c>
    </row>
    <row r="5478" spans="1:1">
      <c r="A5478" t="str">
        <f t="shared" si="85"/>
        <v/>
      </c>
    </row>
    <row r="5479" spans="1:1">
      <c r="A5479" t="str">
        <f t="shared" si="85"/>
        <v/>
      </c>
    </row>
    <row r="5480" spans="1:1">
      <c r="A5480" t="str">
        <f t="shared" si="85"/>
        <v/>
      </c>
    </row>
    <row r="5481" spans="1:1">
      <c r="A5481" t="str">
        <f t="shared" si="85"/>
        <v/>
      </c>
    </row>
    <row r="5482" spans="1:1">
      <c r="A5482" t="str">
        <f t="shared" si="85"/>
        <v/>
      </c>
    </row>
    <row r="5483" spans="1:1">
      <c r="A5483" t="str">
        <f t="shared" si="85"/>
        <v/>
      </c>
    </row>
    <row r="5484" spans="1:1">
      <c r="A5484" t="str">
        <f t="shared" si="85"/>
        <v/>
      </c>
    </row>
    <row r="5485" spans="1:1">
      <c r="A5485" t="str">
        <f t="shared" si="85"/>
        <v/>
      </c>
    </row>
    <row r="5486" spans="1:1">
      <c r="A5486" t="str">
        <f t="shared" si="85"/>
        <v/>
      </c>
    </row>
    <row r="5487" spans="1:1">
      <c r="A5487" t="str">
        <f t="shared" si="85"/>
        <v/>
      </c>
    </row>
    <row r="5488" spans="1:1">
      <c r="A5488" t="str">
        <f t="shared" si="85"/>
        <v/>
      </c>
    </row>
    <row r="5489" spans="1:1">
      <c r="A5489" t="str">
        <f t="shared" si="85"/>
        <v/>
      </c>
    </row>
    <row r="5490" spans="1:1">
      <c r="A5490" t="str">
        <f t="shared" si="85"/>
        <v/>
      </c>
    </row>
    <row r="5491" spans="1:1">
      <c r="A5491" t="str">
        <f t="shared" si="85"/>
        <v/>
      </c>
    </row>
    <row r="5492" spans="1:1">
      <c r="A5492" t="str">
        <f t="shared" si="85"/>
        <v/>
      </c>
    </row>
    <row r="5493" spans="1:1">
      <c r="A5493" t="str">
        <f t="shared" si="85"/>
        <v/>
      </c>
    </row>
    <row r="5494" spans="1:1">
      <c r="A5494" t="str">
        <f t="shared" si="85"/>
        <v/>
      </c>
    </row>
    <row r="5495" spans="1:1">
      <c r="A5495" t="str">
        <f t="shared" si="85"/>
        <v/>
      </c>
    </row>
    <row r="5496" spans="1:1">
      <c r="A5496" t="str">
        <f t="shared" si="85"/>
        <v/>
      </c>
    </row>
    <row r="5497" spans="1:1">
      <c r="A5497" t="str">
        <f t="shared" si="85"/>
        <v/>
      </c>
    </row>
    <row r="5498" spans="1:1">
      <c r="A5498" t="str">
        <f t="shared" si="85"/>
        <v/>
      </c>
    </row>
    <row r="5499" spans="1:1">
      <c r="A5499" t="str">
        <f t="shared" si="85"/>
        <v/>
      </c>
    </row>
    <row r="5500" spans="1:1">
      <c r="A5500" t="str">
        <f t="shared" si="85"/>
        <v/>
      </c>
    </row>
    <row r="5501" spans="1:1">
      <c r="A5501" t="str">
        <f t="shared" si="85"/>
        <v/>
      </c>
    </row>
    <row r="5502" spans="1:1">
      <c r="A5502" t="str">
        <f t="shared" si="85"/>
        <v/>
      </c>
    </row>
    <row r="5503" spans="1:1">
      <c r="A5503" t="str">
        <f t="shared" si="85"/>
        <v/>
      </c>
    </row>
    <row r="5504" spans="1:1">
      <c r="A5504" t="str">
        <f t="shared" ref="A5504:A5567" si="86">CONCATENATE(I5504, B5504)</f>
        <v/>
      </c>
    </row>
    <row r="5505" spans="1:1">
      <c r="A5505" t="str">
        <f t="shared" si="86"/>
        <v/>
      </c>
    </row>
    <row r="5506" spans="1:1">
      <c r="A5506" t="str">
        <f t="shared" si="86"/>
        <v/>
      </c>
    </row>
    <row r="5507" spans="1:1">
      <c r="A5507" t="str">
        <f t="shared" si="86"/>
        <v/>
      </c>
    </row>
    <row r="5508" spans="1:1">
      <c r="A5508" t="str">
        <f t="shared" si="86"/>
        <v/>
      </c>
    </row>
    <row r="5509" spans="1:1">
      <c r="A5509" t="str">
        <f t="shared" si="86"/>
        <v/>
      </c>
    </row>
    <row r="5510" spans="1:1">
      <c r="A5510" t="str">
        <f t="shared" si="86"/>
        <v/>
      </c>
    </row>
    <row r="5511" spans="1:1">
      <c r="A5511" t="str">
        <f t="shared" si="86"/>
        <v/>
      </c>
    </row>
    <row r="5512" spans="1:1">
      <c r="A5512" t="str">
        <f t="shared" si="86"/>
        <v/>
      </c>
    </row>
    <row r="5513" spans="1:1">
      <c r="A5513" t="str">
        <f t="shared" si="86"/>
        <v/>
      </c>
    </row>
    <row r="5514" spans="1:1">
      <c r="A5514" t="str">
        <f t="shared" si="86"/>
        <v/>
      </c>
    </row>
    <row r="5515" spans="1:1">
      <c r="A5515" t="str">
        <f t="shared" si="86"/>
        <v/>
      </c>
    </row>
    <row r="5516" spans="1:1">
      <c r="A5516" t="str">
        <f t="shared" si="86"/>
        <v/>
      </c>
    </row>
    <row r="5517" spans="1:1">
      <c r="A5517" t="str">
        <f t="shared" si="86"/>
        <v/>
      </c>
    </row>
    <row r="5518" spans="1:1">
      <c r="A5518" t="str">
        <f t="shared" si="86"/>
        <v/>
      </c>
    </row>
    <row r="5519" spans="1:1">
      <c r="A5519" t="str">
        <f t="shared" si="86"/>
        <v/>
      </c>
    </row>
    <row r="5520" spans="1:1">
      <c r="A5520" t="str">
        <f t="shared" si="86"/>
        <v/>
      </c>
    </row>
    <row r="5521" spans="1:1">
      <c r="A5521" t="str">
        <f t="shared" si="86"/>
        <v/>
      </c>
    </row>
    <row r="5522" spans="1:1">
      <c r="A5522" t="str">
        <f t="shared" si="86"/>
        <v/>
      </c>
    </row>
    <row r="5523" spans="1:1">
      <c r="A5523" t="str">
        <f t="shared" si="86"/>
        <v/>
      </c>
    </row>
    <row r="5524" spans="1:1">
      <c r="A5524" t="str">
        <f t="shared" si="86"/>
        <v/>
      </c>
    </row>
    <row r="5525" spans="1:1">
      <c r="A5525" t="str">
        <f t="shared" si="86"/>
        <v/>
      </c>
    </row>
    <row r="5526" spans="1:1">
      <c r="A5526" t="str">
        <f t="shared" si="86"/>
        <v/>
      </c>
    </row>
    <row r="5527" spans="1:1">
      <c r="A5527" t="str">
        <f t="shared" si="86"/>
        <v/>
      </c>
    </row>
    <row r="5528" spans="1:1">
      <c r="A5528" t="str">
        <f t="shared" si="86"/>
        <v/>
      </c>
    </row>
    <row r="5529" spans="1:1">
      <c r="A5529" t="str">
        <f t="shared" si="86"/>
        <v/>
      </c>
    </row>
    <row r="5530" spans="1:1">
      <c r="A5530" t="str">
        <f t="shared" si="86"/>
        <v/>
      </c>
    </row>
    <row r="5531" spans="1:1">
      <c r="A5531" t="str">
        <f t="shared" si="86"/>
        <v/>
      </c>
    </row>
    <row r="5532" spans="1:1">
      <c r="A5532" t="str">
        <f t="shared" si="86"/>
        <v/>
      </c>
    </row>
    <row r="5533" spans="1:1">
      <c r="A5533" t="str">
        <f t="shared" si="86"/>
        <v/>
      </c>
    </row>
    <row r="5534" spans="1:1">
      <c r="A5534" t="str">
        <f t="shared" si="86"/>
        <v/>
      </c>
    </row>
    <row r="5535" spans="1:1">
      <c r="A5535" t="str">
        <f t="shared" si="86"/>
        <v/>
      </c>
    </row>
    <row r="5536" spans="1:1">
      <c r="A5536" t="str">
        <f t="shared" si="86"/>
        <v/>
      </c>
    </row>
    <row r="5537" spans="1:1">
      <c r="A5537" t="str">
        <f t="shared" si="86"/>
        <v/>
      </c>
    </row>
    <row r="5538" spans="1:1">
      <c r="A5538" t="str">
        <f t="shared" si="86"/>
        <v/>
      </c>
    </row>
    <row r="5539" spans="1:1">
      <c r="A5539" t="str">
        <f t="shared" si="86"/>
        <v/>
      </c>
    </row>
    <row r="5540" spans="1:1">
      <c r="A5540" t="str">
        <f t="shared" si="86"/>
        <v/>
      </c>
    </row>
    <row r="5541" spans="1:1">
      <c r="A5541" t="str">
        <f t="shared" si="86"/>
        <v/>
      </c>
    </row>
    <row r="5542" spans="1:1">
      <c r="A5542" t="str">
        <f t="shared" si="86"/>
        <v/>
      </c>
    </row>
    <row r="5543" spans="1:1">
      <c r="A5543" t="str">
        <f t="shared" si="86"/>
        <v/>
      </c>
    </row>
    <row r="5544" spans="1:1">
      <c r="A5544" t="str">
        <f t="shared" si="86"/>
        <v/>
      </c>
    </row>
    <row r="5545" spans="1:1">
      <c r="A5545" t="str">
        <f t="shared" si="86"/>
        <v/>
      </c>
    </row>
    <row r="5546" spans="1:1">
      <c r="A5546" t="str">
        <f t="shared" si="86"/>
        <v/>
      </c>
    </row>
    <row r="5547" spans="1:1">
      <c r="A5547" t="str">
        <f t="shared" si="86"/>
        <v/>
      </c>
    </row>
    <row r="5548" spans="1:1">
      <c r="A5548" t="str">
        <f t="shared" si="86"/>
        <v/>
      </c>
    </row>
    <row r="5549" spans="1:1">
      <c r="A5549" t="str">
        <f t="shared" si="86"/>
        <v/>
      </c>
    </row>
    <row r="5550" spans="1:1">
      <c r="A5550" t="str">
        <f t="shared" si="86"/>
        <v/>
      </c>
    </row>
    <row r="5551" spans="1:1">
      <c r="A5551" t="str">
        <f t="shared" si="86"/>
        <v/>
      </c>
    </row>
    <row r="5552" spans="1:1">
      <c r="A5552" t="str">
        <f t="shared" si="86"/>
        <v/>
      </c>
    </row>
    <row r="5553" spans="1:1">
      <c r="A5553" t="str">
        <f t="shared" si="86"/>
        <v/>
      </c>
    </row>
    <row r="5554" spans="1:1">
      <c r="A5554" t="str">
        <f t="shared" si="86"/>
        <v/>
      </c>
    </row>
    <row r="5555" spans="1:1">
      <c r="A5555" t="str">
        <f t="shared" si="86"/>
        <v/>
      </c>
    </row>
    <row r="5556" spans="1:1">
      <c r="A5556" t="str">
        <f t="shared" si="86"/>
        <v/>
      </c>
    </row>
    <row r="5557" spans="1:1">
      <c r="A5557" t="str">
        <f t="shared" si="86"/>
        <v/>
      </c>
    </row>
    <row r="5558" spans="1:1">
      <c r="A5558" t="str">
        <f t="shared" si="86"/>
        <v/>
      </c>
    </row>
    <row r="5559" spans="1:1">
      <c r="A5559" t="str">
        <f t="shared" si="86"/>
        <v/>
      </c>
    </row>
    <row r="5560" spans="1:1">
      <c r="A5560" t="str">
        <f t="shared" si="86"/>
        <v/>
      </c>
    </row>
    <row r="5561" spans="1:1">
      <c r="A5561" t="str">
        <f t="shared" si="86"/>
        <v/>
      </c>
    </row>
    <row r="5562" spans="1:1">
      <c r="A5562" t="str">
        <f t="shared" si="86"/>
        <v/>
      </c>
    </row>
    <row r="5563" spans="1:1">
      <c r="A5563" t="str">
        <f t="shared" si="86"/>
        <v/>
      </c>
    </row>
    <row r="5564" spans="1:1">
      <c r="A5564" t="str">
        <f t="shared" si="86"/>
        <v/>
      </c>
    </row>
    <row r="5565" spans="1:1">
      <c r="A5565" t="str">
        <f t="shared" si="86"/>
        <v/>
      </c>
    </row>
    <row r="5566" spans="1:1">
      <c r="A5566" t="str">
        <f t="shared" si="86"/>
        <v/>
      </c>
    </row>
    <row r="5567" spans="1:1">
      <c r="A5567" t="str">
        <f t="shared" si="86"/>
        <v/>
      </c>
    </row>
    <row r="5568" spans="1:1">
      <c r="A5568" t="str">
        <f t="shared" ref="A5568:A5631" si="87">CONCATENATE(I5568, B5568)</f>
        <v/>
      </c>
    </row>
    <row r="5569" spans="1:1">
      <c r="A5569" t="str">
        <f t="shared" si="87"/>
        <v/>
      </c>
    </row>
    <row r="5570" spans="1:1">
      <c r="A5570" t="str">
        <f t="shared" si="87"/>
        <v/>
      </c>
    </row>
    <row r="5571" spans="1:1">
      <c r="A5571" t="str">
        <f t="shared" si="87"/>
        <v/>
      </c>
    </row>
    <row r="5572" spans="1:1">
      <c r="A5572" t="str">
        <f t="shared" si="87"/>
        <v/>
      </c>
    </row>
    <row r="5573" spans="1:1">
      <c r="A5573" t="str">
        <f t="shared" si="87"/>
        <v/>
      </c>
    </row>
    <row r="5574" spans="1:1">
      <c r="A5574" t="str">
        <f t="shared" si="87"/>
        <v/>
      </c>
    </row>
    <row r="5575" spans="1:1">
      <c r="A5575" t="str">
        <f t="shared" si="87"/>
        <v/>
      </c>
    </row>
    <row r="5576" spans="1:1">
      <c r="A5576" t="str">
        <f t="shared" si="87"/>
        <v/>
      </c>
    </row>
    <row r="5577" spans="1:1">
      <c r="A5577" t="str">
        <f t="shared" si="87"/>
        <v/>
      </c>
    </row>
    <row r="5578" spans="1:1">
      <c r="A5578" t="str">
        <f t="shared" si="87"/>
        <v/>
      </c>
    </row>
    <row r="5579" spans="1:1">
      <c r="A5579" t="str">
        <f t="shared" si="87"/>
        <v/>
      </c>
    </row>
    <row r="5580" spans="1:1">
      <c r="A5580" t="str">
        <f t="shared" si="87"/>
        <v/>
      </c>
    </row>
    <row r="5581" spans="1:1">
      <c r="A5581" t="str">
        <f t="shared" si="87"/>
        <v/>
      </c>
    </row>
    <row r="5582" spans="1:1">
      <c r="A5582" t="str">
        <f t="shared" si="87"/>
        <v/>
      </c>
    </row>
    <row r="5583" spans="1:1">
      <c r="A5583" t="str">
        <f t="shared" si="87"/>
        <v/>
      </c>
    </row>
    <row r="5584" spans="1:1">
      <c r="A5584" t="str">
        <f t="shared" si="87"/>
        <v/>
      </c>
    </row>
    <row r="5585" spans="1:1">
      <c r="A5585" t="str">
        <f t="shared" si="87"/>
        <v/>
      </c>
    </row>
    <row r="5586" spans="1:1">
      <c r="A5586" t="str">
        <f t="shared" si="87"/>
        <v/>
      </c>
    </row>
    <row r="5587" spans="1:1">
      <c r="A5587" t="str">
        <f t="shared" si="87"/>
        <v/>
      </c>
    </row>
    <row r="5588" spans="1:1">
      <c r="A5588" t="str">
        <f t="shared" si="87"/>
        <v/>
      </c>
    </row>
    <row r="5589" spans="1:1">
      <c r="A5589" t="str">
        <f t="shared" si="87"/>
        <v/>
      </c>
    </row>
    <row r="5590" spans="1:1">
      <c r="A5590" t="str">
        <f t="shared" si="87"/>
        <v/>
      </c>
    </row>
    <row r="5591" spans="1:1">
      <c r="A5591" t="str">
        <f t="shared" si="87"/>
        <v/>
      </c>
    </row>
    <row r="5592" spans="1:1">
      <c r="A5592" t="str">
        <f t="shared" si="87"/>
        <v/>
      </c>
    </row>
    <row r="5593" spans="1:1">
      <c r="A5593" t="str">
        <f t="shared" si="87"/>
        <v/>
      </c>
    </row>
    <row r="5594" spans="1:1">
      <c r="A5594" t="str">
        <f t="shared" si="87"/>
        <v/>
      </c>
    </row>
    <row r="5595" spans="1:1">
      <c r="A5595" t="str">
        <f t="shared" si="87"/>
        <v/>
      </c>
    </row>
    <row r="5596" spans="1:1">
      <c r="A5596" t="str">
        <f t="shared" si="87"/>
        <v/>
      </c>
    </row>
    <row r="5597" spans="1:1">
      <c r="A5597" t="str">
        <f t="shared" si="87"/>
        <v/>
      </c>
    </row>
    <row r="5598" spans="1:1">
      <c r="A5598" t="str">
        <f t="shared" si="87"/>
        <v/>
      </c>
    </row>
    <row r="5599" spans="1:1">
      <c r="A5599" t="str">
        <f t="shared" si="87"/>
        <v/>
      </c>
    </row>
    <row r="5600" spans="1:1">
      <c r="A5600" t="str">
        <f t="shared" si="87"/>
        <v/>
      </c>
    </row>
    <row r="5601" spans="1:1">
      <c r="A5601" t="str">
        <f t="shared" si="87"/>
        <v/>
      </c>
    </row>
    <row r="5602" spans="1:1">
      <c r="A5602" t="str">
        <f t="shared" si="87"/>
        <v/>
      </c>
    </row>
    <row r="5603" spans="1:1">
      <c r="A5603" t="str">
        <f t="shared" si="87"/>
        <v/>
      </c>
    </row>
    <row r="5604" spans="1:1">
      <c r="A5604" t="str">
        <f t="shared" si="87"/>
        <v/>
      </c>
    </row>
    <row r="5605" spans="1:1">
      <c r="A5605" t="str">
        <f t="shared" si="87"/>
        <v/>
      </c>
    </row>
    <row r="5606" spans="1:1">
      <c r="A5606" t="str">
        <f t="shared" si="87"/>
        <v/>
      </c>
    </row>
    <row r="5607" spans="1:1">
      <c r="A5607" t="str">
        <f t="shared" si="87"/>
        <v/>
      </c>
    </row>
    <row r="5608" spans="1:1">
      <c r="A5608" t="str">
        <f t="shared" si="87"/>
        <v/>
      </c>
    </row>
    <row r="5609" spans="1:1">
      <c r="A5609" t="str">
        <f t="shared" si="87"/>
        <v/>
      </c>
    </row>
    <row r="5610" spans="1:1">
      <c r="A5610" t="str">
        <f t="shared" si="87"/>
        <v/>
      </c>
    </row>
    <row r="5611" spans="1:1">
      <c r="A5611" t="str">
        <f t="shared" si="87"/>
        <v/>
      </c>
    </row>
    <row r="5612" spans="1:1">
      <c r="A5612" t="str">
        <f t="shared" si="87"/>
        <v/>
      </c>
    </row>
    <row r="5613" spans="1:1">
      <c r="A5613" t="str">
        <f t="shared" si="87"/>
        <v/>
      </c>
    </row>
    <row r="5614" spans="1:1">
      <c r="A5614" t="str">
        <f t="shared" si="87"/>
        <v/>
      </c>
    </row>
    <row r="5615" spans="1:1">
      <c r="A5615" t="str">
        <f t="shared" si="87"/>
        <v/>
      </c>
    </row>
    <row r="5616" spans="1:1">
      <c r="A5616" t="str">
        <f t="shared" si="87"/>
        <v/>
      </c>
    </row>
    <row r="5617" spans="1:1">
      <c r="A5617" t="str">
        <f t="shared" si="87"/>
        <v/>
      </c>
    </row>
    <row r="5618" spans="1:1">
      <c r="A5618" t="str">
        <f t="shared" si="87"/>
        <v/>
      </c>
    </row>
    <row r="5619" spans="1:1">
      <c r="A5619" t="str">
        <f t="shared" si="87"/>
        <v/>
      </c>
    </row>
    <row r="5620" spans="1:1">
      <c r="A5620" t="str">
        <f t="shared" si="87"/>
        <v/>
      </c>
    </row>
    <row r="5621" spans="1:1">
      <c r="A5621" t="str">
        <f t="shared" si="87"/>
        <v/>
      </c>
    </row>
    <row r="5622" spans="1:1">
      <c r="A5622" t="str">
        <f t="shared" si="87"/>
        <v/>
      </c>
    </row>
    <row r="5623" spans="1:1">
      <c r="A5623" t="str">
        <f t="shared" si="87"/>
        <v/>
      </c>
    </row>
    <row r="5624" spans="1:1">
      <c r="A5624" t="str">
        <f t="shared" si="87"/>
        <v/>
      </c>
    </row>
    <row r="5625" spans="1:1">
      <c r="A5625" t="str">
        <f t="shared" si="87"/>
        <v/>
      </c>
    </row>
    <row r="5626" spans="1:1">
      <c r="A5626" t="str">
        <f t="shared" si="87"/>
        <v/>
      </c>
    </row>
    <row r="5627" spans="1:1">
      <c r="A5627" t="str">
        <f t="shared" si="87"/>
        <v/>
      </c>
    </row>
    <row r="5628" spans="1:1">
      <c r="A5628" t="str">
        <f t="shared" si="87"/>
        <v/>
      </c>
    </row>
    <row r="5629" spans="1:1">
      <c r="A5629" t="str">
        <f t="shared" si="87"/>
        <v/>
      </c>
    </row>
    <row r="5630" spans="1:1">
      <c r="A5630" t="str">
        <f t="shared" si="87"/>
        <v/>
      </c>
    </row>
    <row r="5631" spans="1:1">
      <c r="A5631" t="str">
        <f t="shared" si="87"/>
        <v/>
      </c>
    </row>
    <row r="5632" spans="1:1">
      <c r="A5632" t="str">
        <f t="shared" ref="A5632:A5695" si="88">CONCATENATE(I5632, B5632)</f>
        <v/>
      </c>
    </row>
    <row r="5633" spans="1:1">
      <c r="A5633" t="str">
        <f t="shared" si="88"/>
        <v/>
      </c>
    </row>
    <row r="5634" spans="1:1">
      <c r="A5634" t="str">
        <f t="shared" si="88"/>
        <v/>
      </c>
    </row>
    <row r="5635" spans="1:1">
      <c r="A5635" t="str">
        <f t="shared" si="88"/>
        <v/>
      </c>
    </row>
    <row r="5636" spans="1:1">
      <c r="A5636" t="str">
        <f t="shared" si="88"/>
        <v/>
      </c>
    </row>
    <row r="5637" spans="1:1">
      <c r="A5637" t="str">
        <f t="shared" si="88"/>
        <v/>
      </c>
    </row>
    <row r="5638" spans="1:1">
      <c r="A5638" t="str">
        <f t="shared" si="88"/>
        <v/>
      </c>
    </row>
    <row r="5639" spans="1:1">
      <c r="A5639" t="str">
        <f t="shared" si="88"/>
        <v/>
      </c>
    </row>
    <row r="5640" spans="1:1">
      <c r="A5640" t="str">
        <f t="shared" si="88"/>
        <v/>
      </c>
    </row>
    <row r="5641" spans="1:1">
      <c r="A5641" t="str">
        <f t="shared" si="88"/>
        <v/>
      </c>
    </row>
    <row r="5642" spans="1:1">
      <c r="A5642" t="str">
        <f t="shared" si="88"/>
        <v/>
      </c>
    </row>
    <row r="5643" spans="1:1">
      <c r="A5643" t="str">
        <f t="shared" si="88"/>
        <v/>
      </c>
    </row>
    <row r="5644" spans="1:1">
      <c r="A5644" t="str">
        <f t="shared" si="88"/>
        <v/>
      </c>
    </row>
    <row r="5645" spans="1:1">
      <c r="A5645" t="str">
        <f t="shared" si="88"/>
        <v/>
      </c>
    </row>
    <row r="5646" spans="1:1">
      <c r="A5646" t="str">
        <f t="shared" si="88"/>
        <v/>
      </c>
    </row>
    <row r="5647" spans="1:1">
      <c r="A5647" t="str">
        <f t="shared" si="88"/>
        <v/>
      </c>
    </row>
    <row r="5648" spans="1:1">
      <c r="A5648" t="str">
        <f t="shared" si="88"/>
        <v/>
      </c>
    </row>
    <row r="5649" spans="1:1">
      <c r="A5649" t="str">
        <f t="shared" si="88"/>
        <v/>
      </c>
    </row>
    <row r="5650" spans="1:1">
      <c r="A5650" t="str">
        <f t="shared" si="88"/>
        <v/>
      </c>
    </row>
    <row r="5651" spans="1:1">
      <c r="A5651" t="str">
        <f t="shared" si="88"/>
        <v/>
      </c>
    </row>
    <row r="5652" spans="1:1">
      <c r="A5652" t="str">
        <f t="shared" si="88"/>
        <v/>
      </c>
    </row>
    <row r="5653" spans="1:1">
      <c r="A5653" t="str">
        <f t="shared" si="88"/>
        <v/>
      </c>
    </row>
    <row r="5654" spans="1:1">
      <c r="A5654" t="str">
        <f t="shared" si="88"/>
        <v/>
      </c>
    </row>
    <row r="5655" spans="1:1">
      <c r="A5655" t="str">
        <f t="shared" si="88"/>
        <v/>
      </c>
    </row>
    <row r="5656" spans="1:1">
      <c r="A5656" t="str">
        <f t="shared" si="88"/>
        <v/>
      </c>
    </row>
    <row r="5657" spans="1:1">
      <c r="A5657" t="str">
        <f t="shared" si="88"/>
        <v/>
      </c>
    </row>
    <row r="5658" spans="1:1">
      <c r="A5658" t="str">
        <f t="shared" si="88"/>
        <v/>
      </c>
    </row>
    <row r="5659" spans="1:1">
      <c r="A5659" t="str">
        <f t="shared" si="88"/>
        <v/>
      </c>
    </row>
    <row r="5660" spans="1:1">
      <c r="A5660" t="str">
        <f t="shared" si="88"/>
        <v/>
      </c>
    </row>
    <row r="5661" spans="1:1">
      <c r="A5661" t="str">
        <f t="shared" si="88"/>
        <v/>
      </c>
    </row>
    <row r="5662" spans="1:1">
      <c r="A5662" t="str">
        <f t="shared" si="88"/>
        <v/>
      </c>
    </row>
    <row r="5663" spans="1:1">
      <c r="A5663" t="str">
        <f t="shared" si="88"/>
        <v/>
      </c>
    </row>
    <row r="5664" spans="1:1">
      <c r="A5664" t="str">
        <f t="shared" si="88"/>
        <v/>
      </c>
    </row>
    <row r="5665" spans="1:1">
      <c r="A5665" t="str">
        <f t="shared" si="88"/>
        <v/>
      </c>
    </row>
    <row r="5666" spans="1:1">
      <c r="A5666" t="str">
        <f t="shared" si="88"/>
        <v/>
      </c>
    </row>
    <row r="5667" spans="1:1">
      <c r="A5667" t="str">
        <f t="shared" si="88"/>
        <v/>
      </c>
    </row>
    <row r="5668" spans="1:1">
      <c r="A5668" t="str">
        <f t="shared" si="88"/>
        <v/>
      </c>
    </row>
    <row r="5669" spans="1:1">
      <c r="A5669" t="str">
        <f t="shared" si="88"/>
        <v/>
      </c>
    </row>
    <row r="5670" spans="1:1">
      <c r="A5670" t="str">
        <f t="shared" si="88"/>
        <v/>
      </c>
    </row>
    <row r="5671" spans="1:1">
      <c r="A5671" t="str">
        <f t="shared" si="88"/>
        <v/>
      </c>
    </row>
    <row r="5672" spans="1:1">
      <c r="A5672" t="str">
        <f t="shared" si="88"/>
        <v/>
      </c>
    </row>
    <row r="5673" spans="1:1">
      <c r="A5673" t="str">
        <f t="shared" si="88"/>
        <v/>
      </c>
    </row>
    <row r="5674" spans="1:1">
      <c r="A5674" t="str">
        <f t="shared" si="88"/>
        <v/>
      </c>
    </row>
    <row r="5675" spans="1:1">
      <c r="A5675" t="str">
        <f t="shared" si="88"/>
        <v/>
      </c>
    </row>
    <row r="5676" spans="1:1">
      <c r="A5676" t="str">
        <f t="shared" si="88"/>
        <v/>
      </c>
    </row>
    <row r="5677" spans="1:1">
      <c r="A5677" t="str">
        <f t="shared" si="88"/>
        <v/>
      </c>
    </row>
    <row r="5678" spans="1:1">
      <c r="A5678" t="str">
        <f t="shared" si="88"/>
        <v/>
      </c>
    </row>
    <row r="5679" spans="1:1">
      <c r="A5679" t="str">
        <f t="shared" si="88"/>
        <v/>
      </c>
    </row>
    <row r="5680" spans="1:1">
      <c r="A5680" t="str">
        <f t="shared" si="88"/>
        <v/>
      </c>
    </row>
    <row r="5681" spans="1:1">
      <c r="A5681" t="str">
        <f t="shared" si="88"/>
        <v/>
      </c>
    </row>
    <row r="5682" spans="1:1">
      <c r="A5682" t="str">
        <f t="shared" si="88"/>
        <v/>
      </c>
    </row>
    <row r="5683" spans="1:1">
      <c r="A5683" t="str">
        <f t="shared" si="88"/>
        <v/>
      </c>
    </row>
    <row r="5684" spans="1:1">
      <c r="A5684" t="str">
        <f t="shared" si="88"/>
        <v/>
      </c>
    </row>
    <row r="5685" spans="1:1">
      <c r="A5685" t="str">
        <f t="shared" si="88"/>
        <v/>
      </c>
    </row>
    <row r="5686" spans="1:1">
      <c r="A5686" t="str">
        <f t="shared" si="88"/>
        <v/>
      </c>
    </row>
    <row r="5687" spans="1:1">
      <c r="A5687" t="str">
        <f t="shared" si="88"/>
        <v/>
      </c>
    </row>
    <row r="5688" spans="1:1">
      <c r="A5688" t="str">
        <f t="shared" si="88"/>
        <v/>
      </c>
    </row>
    <row r="5689" spans="1:1">
      <c r="A5689" t="str">
        <f t="shared" si="88"/>
        <v/>
      </c>
    </row>
    <row r="5690" spans="1:1">
      <c r="A5690" t="str">
        <f t="shared" si="88"/>
        <v/>
      </c>
    </row>
    <row r="5691" spans="1:1">
      <c r="A5691" t="str">
        <f t="shared" si="88"/>
        <v/>
      </c>
    </row>
    <row r="5692" spans="1:1">
      <c r="A5692" t="str">
        <f t="shared" si="88"/>
        <v/>
      </c>
    </row>
    <row r="5693" spans="1:1">
      <c r="A5693" t="str">
        <f t="shared" si="88"/>
        <v/>
      </c>
    </row>
    <row r="5694" spans="1:1">
      <c r="A5694" t="str">
        <f t="shared" si="88"/>
        <v/>
      </c>
    </row>
    <row r="5695" spans="1:1">
      <c r="A5695" t="str">
        <f t="shared" si="88"/>
        <v/>
      </c>
    </row>
    <row r="5696" spans="1:1">
      <c r="A5696" t="str">
        <f t="shared" ref="A5696:A5759" si="89">CONCATENATE(I5696, B5696)</f>
        <v/>
      </c>
    </row>
    <row r="5697" spans="1:1">
      <c r="A5697" t="str">
        <f t="shared" si="89"/>
        <v/>
      </c>
    </row>
    <row r="5698" spans="1:1">
      <c r="A5698" t="str">
        <f t="shared" si="89"/>
        <v/>
      </c>
    </row>
    <row r="5699" spans="1:1">
      <c r="A5699" t="str">
        <f t="shared" si="89"/>
        <v/>
      </c>
    </row>
    <row r="5700" spans="1:1">
      <c r="A5700" t="str">
        <f t="shared" si="89"/>
        <v/>
      </c>
    </row>
    <row r="5701" spans="1:1">
      <c r="A5701" t="str">
        <f t="shared" si="89"/>
        <v/>
      </c>
    </row>
    <row r="5702" spans="1:1">
      <c r="A5702" t="str">
        <f t="shared" si="89"/>
        <v/>
      </c>
    </row>
    <row r="5703" spans="1:1">
      <c r="A5703" t="str">
        <f t="shared" si="89"/>
        <v/>
      </c>
    </row>
    <row r="5704" spans="1:1">
      <c r="A5704" t="str">
        <f t="shared" si="89"/>
        <v/>
      </c>
    </row>
    <row r="5705" spans="1:1">
      <c r="A5705" t="str">
        <f t="shared" si="89"/>
        <v/>
      </c>
    </row>
    <row r="5706" spans="1:1">
      <c r="A5706" t="str">
        <f t="shared" si="89"/>
        <v/>
      </c>
    </row>
    <row r="5707" spans="1:1">
      <c r="A5707" t="str">
        <f t="shared" si="89"/>
        <v/>
      </c>
    </row>
    <row r="5708" spans="1:1">
      <c r="A5708" t="str">
        <f t="shared" si="89"/>
        <v/>
      </c>
    </row>
    <row r="5709" spans="1:1">
      <c r="A5709" t="str">
        <f t="shared" si="89"/>
        <v/>
      </c>
    </row>
    <row r="5710" spans="1:1">
      <c r="A5710" t="str">
        <f t="shared" si="89"/>
        <v/>
      </c>
    </row>
    <row r="5711" spans="1:1">
      <c r="A5711" t="str">
        <f t="shared" si="89"/>
        <v/>
      </c>
    </row>
    <row r="5712" spans="1:1">
      <c r="A5712" t="str">
        <f t="shared" si="89"/>
        <v/>
      </c>
    </row>
    <row r="5713" spans="1:1">
      <c r="A5713" t="str">
        <f t="shared" si="89"/>
        <v/>
      </c>
    </row>
    <row r="5714" spans="1:1">
      <c r="A5714" t="str">
        <f t="shared" si="89"/>
        <v/>
      </c>
    </row>
    <row r="5715" spans="1:1">
      <c r="A5715" t="str">
        <f t="shared" si="89"/>
        <v/>
      </c>
    </row>
    <row r="5716" spans="1:1">
      <c r="A5716" t="str">
        <f t="shared" si="89"/>
        <v/>
      </c>
    </row>
    <row r="5717" spans="1:1">
      <c r="A5717" t="str">
        <f t="shared" si="89"/>
        <v/>
      </c>
    </row>
    <row r="5718" spans="1:1">
      <c r="A5718" t="str">
        <f t="shared" si="89"/>
        <v/>
      </c>
    </row>
    <row r="5719" spans="1:1">
      <c r="A5719" t="str">
        <f t="shared" si="89"/>
        <v/>
      </c>
    </row>
    <row r="5720" spans="1:1">
      <c r="A5720" t="str">
        <f t="shared" si="89"/>
        <v/>
      </c>
    </row>
    <row r="5721" spans="1:1">
      <c r="A5721" t="str">
        <f t="shared" si="89"/>
        <v/>
      </c>
    </row>
    <row r="5722" spans="1:1">
      <c r="A5722" t="str">
        <f t="shared" si="89"/>
        <v/>
      </c>
    </row>
    <row r="5723" spans="1:1">
      <c r="A5723" t="str">
        <f t="shared" si="89"/>
        <v/>
      </c>
    </row>
    <row r="5724" spans="1:1">
      <c r="A5724" t="str">
        <f t="shared" si="89"/>
        <v/>
      </c>
    </row>
    <row r="5725" spans="1:1">
      <c r="A5725" t="str">
        <f t="shared" si="89"/>
        <v/>
      </c>
    </row>
    <row r="5726" spans="1:1">
      <c r="A5726" t="str">
        <f t="shared" si="89"/>
        <v/>
      </c>
    </row>
    <row r="5727" spans="1:1">
      <c r="A5727" t="str">
        <f t="shared" si="89"/>
        <v/>
      </c>
    </row>
    <row r="5728" spans="1:1">
      <c r="A5728" t="str">
        <f t="shared" si="89"/>
        <v/>
      </c>
    </row>
    <row r="5729" spans="1:1">
      <c r="A5729" t="str">
        <f t="shared" si="89"/>
        <v/>
      </c>
    </row>
    <row r="5730" spans="1:1">
      <c r="A5730" t="str">
        <f t="shared" si="89"/>
        <v/>
      </c>
    </row>
    <row r="5731" spans="1:1">
      <c r="A5731" t="str">
        <f t="shared" si="89"/>
        <v/>
      </c>
    </row>
    <row r="5732" spans="1:1">
      <c r="A5732" t="str">
        <f t="shared" si="89"/>
        <v/>
      </c>
    </row>
    <row r="5733" spans="1:1">
      <c r="A5733" t="str">
        <f t="shared" si="89"/>
        <v/>
      </c>
    </row>
    <row r="5734" spans="1:1">
      <c r="A5734" t="str">
        <f t="shared" si="89"/>
        <v/>
      </c>
    </row>
    <row r="5735" spans="1:1">
      <c r="A5735" t="str">
        <f t="shared" si="89"/>
        <v/>
      </c>
    </row>
    <row r="5736" spans="1:1">
      <c r="A5736" t="str">
        <f t="shared" si="89"/>
        <v/>
      </c>
    </row>
    <row r="5737" spans="1:1">
      <c r="A5737" t="str">
        <f t="shared" si="89"/>
        <v/>
      </c>
    </row>
    <row r="5738" spans="1:1">
      <c r="A5738" t="str">
        <f t="shared" si="89"/>
        <v/>
      </c>
    </row>
    <row r="5739" spans="1:1">
      <c r="A5739" t="str">
        <f t="shared" si="89"/>
        <v/>
      </c>
    </row>
    <row r="5740" spans="1:1">
      <c r="A5740" t="str">
        <f t="shared" si="89"/>
        <v/>
      </c>
    </row>
    <row r="5741" spans="1:1">
      <c r="A5741" t="str">
        <f t="shared" si="89"/>
        <v/>
      </c>
    </row>
    <row r="5742" spans="1:1">
      <c r="A5742" t="str">
        <f t="shared" si="89"/>
        <v/>
      </c>
    </row>
    <row r="5743" spans="1:1">
      <c r="A5743" t="str">
        <f t="shared" si="89"/>
        <v/>
      </c>
    </row>
    <row r="5744" spans="1:1">
      <c r="A5744" t="str">
        <f t="shared" si="89"/>
        <v/>
      </c>
    </row>
    <row r="5745" spans="1:1">
      <c r="A5745" t="str">
        <f t="shared" si="89"/>
        <v/>
      </c>
    </row>
    <row r="5746" spans="1:1">
      <c r="A5746" t="str">
        <f t="shared" si="89"/>
        <v/>
      </c>
    </row>
    <row r="5747" spans="1:1">
      <c r="A5747" t="str">
        <f t="shared" si="89"/>
        <v/>
      </c>
    </row>
    <row r="5748" spans="1:1">
      <c r="A5748" t="str">
        <f t="shared" si="89"/>
        <v/>
      </c>
    </row>
    <row r="5749" spans="1:1">
      <c r="A5749" t="str">
        <f t="shared" si="89"/>
        <v/>
      </c>
    </row>
    <row r="5750" spans="1:1">
      <c r="A5750" t="str">
        <f t="shared" si="89"/>
        <v/>
      </c>
    </row>
    <row r="5751" spans="1:1">
      <c r="A5751" t="str">
        <f t="shared" si="89"/>
        <v/>
      </c>
    </row>
    <row r="5752" spans="1:1">
      <c r="A5752" t="str">
        <f t="shared" si="89"/>
        <v/>
      </c>
    </row>
    <row r="5753" spans="1:1">
      <c r="A5753" t="str">
        <f t="shared" si="89"/>
        <v/>
      </c>
    </row>
    <row r="5754" spans="1:1">
      <c r="A5754" t="str">
        <f t="shared" si="89"/>
        <v/>
      </c>
    </row>
    <row r="5755" spans="1:1">
      <c r="A5755" t="str">
        <f t="shared" si="89"/>
        <v/>
      </c>
    </row>
    <row r="5756" spans="1:1">
      <c r="A5756" t="str">
        <f t="shared" si="89"/>
        <v/>
      </c>
    </row>
    <row r="5757" spans="1:1">
      <c r="A5757" t="str">
        <f t="shared" si="89"/>
        <v/>
      </c>
    </row>
    <row r="5758" spans="1:1">
      <c r="A5758" t="str">
        <f t="shared" si="89"/>
        <v/>
      </c>
    </row>
    <row r="5759" spans="1:1">
      <c r="A5759" t="str">
        <f t="shared" si="89"/>
        <v/>
      </c>
    </row>
    <row r="5760" spans="1:1">
      <c r="A5760" t="str">
        <f t="shared" ref="A5760:A5823" si="90">CONCATENATE(I5760, B5760)</f>
        <v/>
      </c>
    </row>
    <row r="5761" spans="1:1">
      <c r="A5761" t="str">
        <f t="shared" si="90"/>
        <v/>
      </c>
    </row>
    <row r="5762" spans="1:1">
      <c r="A5762" t="str">
        <f t="shared" si="90"/>
        <v/>
      </c>
    </row>
    <row r="5763" spans="1:1">
      <c r="A5763" t="str">
        <f t="shared" si="90"/>
        <v/>
      </c>
    </row>
    <row r="5764" spans="1:1">
      <c r="A5764" t="str">
        <f t="shared" si="90"/>
        <v/>
      </c>
    </row>
    <row r="5765" spans="1:1">
      <c r="A5765" t="str">
        <f t="shared" si="90"/>
        <v/>
      </c>
    </row>
    <row r="5766" spans="1:1">
      <c r="A5766" t="str">
        <f t="shared" si="90"/>
        <v/>
      </c>
    </row>
    <row r="5767" spans="1:1">
      <c r="A5767" t="str">
        <f t="shared" si="90"/>
        <v/>
      </c>
    </row>
    <row r="5768" spans="1:1">
      <c r="A5768" t="str">
        <f t="shared" si="90"/>
        <v/>
      </c>
    </row>
    <row r="5769" spans="1:1">
      <c r="A5769" t="str">
        <f t="shared" si="90"/>
        <v/>
      </c>
    </row>
    <row r="5770" spans="1:1">
      <c r="A5770" t="str">
        <f t="shared" si="90"/>
        <v/>
      </c>
    </row>
    <row r="5771" spans="1:1">
      <c r="A5771" t="str">
        <f t="shared" si="90"/>
        <v/>
      </c>
    </row>
    <row r="5772" spans="1:1">
      <c r="A5772" t="str">
        <f t="shared" si="90"/>
        <v/>
      </c>
    </row>
    <row r="5773" spans="1:1">
      <c r="A5773" t="str">
        <f t="shared" si="90"/>
        <v/>
      </c>
    </row>
    <row r="5774" spans="1:1">
      <c r="A5774" t="str">
        <f t="shared" si="90"/>
        <v/>
      </c>
    </row>
    <row r="5775" spans="1:1">
      <c r="A5775" t="str">
        <f t="shared" si="90"/>
        <v/>
      </c>
    </row>
    <row r="5776" spans="1:1">
      <c r="A5776" t="str">
        <f t="shared" si="90"/>
        <v/>
      </c>
    </row>
    <row r="5777" spans="1:1">
      <c r="A5777" t="str">
        <f t="shared" si="90"/>
        <v/>
      </c>
    </row>
    <row r="5778" spans="1:1">
      <c r="A5778" t="str">
        <f t="shared" si="90"/>
        <v/>
      </c>
    </row>
    <row r="5779" spans="1:1">
      <c r="A5779" t="str">
        <f t="shared" si="90"/>
        <v/>
      </c>
    </row>
    <row r="5780" spans="1:1">
      <c r="A5780" t="str">
        <f t="shared" si="90"/>
        <v/>
      </c>
    </row>
    <row r="5781" spans="1:1">
      <c r="A5781" t="str">
        <f t="shared" si="90"/>
        <v/>
      </c>
    </row>
    <row r="5782" spans="1:1">
      <c r="A5782" t="str">
        <f t="shared" si="90"/>
        <v/>
      </c>
    </row>
    <row r="5783" spans="1:1">
      <c r="A5783" t="str">
        <f t="shared" si="90"/>
        <v/>
      </c>
    </row>
    <row r="5784" spans="1:1">
      <c r="A5784" t="str">
        <f t="shared" si="90"/>
        <v/>
      </c>
    </row>
    <row r="5785" spans="1:1">
      <c r="A5785" t="str">
        <f t="shared" si="90"/>
        <v/>
      </c>
    </row>
    <row r="5786" spans="1:1">
      <c r="A5786" t="str">
        <f t="shared" si="90"/>
        <v/>
      </c>
    </row>
    <row r="5787" spans="1:1">
      <c r="A5787" t="str">
        <f t="shared" si="90"/>
        <v/>
      </c>
    </row>
    <row r="5788" spans="1:1">
      <c r="A5788" t="str">
        <f t="shared" si="90"/>
        <v/>
      </c>
    </row>
    <row r="5789" spans="1:1">
      <c r="A5789" t="str">
        <f t="shared" si="90"/>
        <v/>
      </c>
    </row>
    <row r="5790" spans="1:1">
      <c r="A5790" t="str">
        <f t="shared" si="90"/>
        <v/>
      </c>
    </row>
    <row r="5791" spans="1:1">
      <c r="A5791" t="str">
        <f t="shared" si="90"/>
        <v/>
      </c>
    </row>
    <row r="5792" spans="1:1">
      <c r="A5792" t="str">
        <f t="shared" si="90"/>
        <v/>
      </c>
    </row>
    <row r="5793" spans="1:1">
      <c r="A5793" t="str">
        <f t="shared" si="90"/>
        <v/>
      </c>
    </row>
    <row r="5794" spans="1:1">
      <c r="A5794" t="str">
        <f t="shared" si="90"/>
        <v/>
      </c>
    </row>
    <row r="5795" spans="1:1">
      <c r="A5795" t="str">
        <f t="shared" si="90"/>
        <v/>
      </c>
    </row>
    <row r="5796" spans="1:1">
      <c r="A5796" t="str">
        <f t="shared" si="90"/>
        <v/>
      </c>
    </row>
    <row r="5797" spans="1:1">
      <c r="A5797" t="str">
        <f t="shared" si="90"/>
        <v/>
      </c>
    </row>
    <row r="5798" spans="1:1">
      <c r="A5798" t="str">
        <f t="shared" si="90"/>
        <v/>
      </c>
    </row>
    <row r="5799" spans="1:1">
      <c r="A5799" t="str">
        <f t="shared" si="90"/>
        <v/>
      </c>
    </row>
    <row r="5800" spans="1:1">
      <c r="A5800" t="str">
        <f t="shared" si="90"/>
        <v/>
      </c>
    </row>
    <row r="5801" spans="1:1">
      <c r="A5801" t="str">
        <f t="shared" si="90"/>
        <v/>
      </c>
    </row>
    <row r="5802" spans="1:1">
      <c r="A5802" t="str">
        <f t="shared" si="90"/>
        <v/>
      </c>
    </row>
    <row r="5803" spans="1:1">
      <c r="A5803" t="str">
        <f t="shared" si="90"/>
        <v/>
      </c>
    </row>
    <row r="5804" spans="1:1">
      <c r="A5804" t="str">
        <f t="shared" si="90"/>
        <v/>
      </c>
    </row>
    <row r="5805" spans="1:1">
      <c r="A5805" t="str">
        <f t="shared" si="90"/>
        <v/>
      </c>
    </row>
    <row r="5806" spans="1:1">
      <c r="A5806" t="str">
        <f t="shared" si="90"/>
        <v/>
      </c>
    </row>
    <row r="5807" spans="1:1">
      <c r="A5807" t="str">
        <f t="shared" si="90"/>
        <v/>
      </c>
    </row>
    <row r="5808" spans="1:1">
      <c r="A5808" t="str">
        <f t="shared" si="90"/>
        <v/>
      </c>
    </row>
    <row r="5809" spans="1:1">
      <c r="A5809" t="str">
        <f t="shared" si="90"/>
        <v/>
      </c>
    </row>
    <row r="5810" spans="1:1">
      <c r="A5810" t="str">
        <f t="shared" si="90"/>
        <v/>
      </c>
    </row>
    <row r="5811" spans="1:1">
      <c r="A5811" t="str">
        <f t="shared" si="90"/>
        <v/>
      </c>
    </row>
    <row r="5812" spans="1:1">
      <c r="A5812" t="str">
        <f t="shared" si="90"/>
        <v/>
      </c>
    </row>
    <row r="5813" spans="1:1">
      <c r="A5813" t="str">
        <f t="shared" si="90"/>
        <v/>
      </c>
    </row>
    <row r="5814" spans="1:1">
      <c r="A5814" t="str">
        <f t="shared" si="90"/>
        <v/>
      </c>
    </row>
    <row r="5815" spans="1:1">
      <c r="A5815" t="str">
        <f t="shared" si="90"/>
        <v/>
      </c>
    </row>
    <row r="5816" spans="1:1">
      <c r="A5816" t="str">
        <f t="shared" si="90"/>
        <v/>
      </c>
    </row>
    <row r="5817" spans="1:1">
      <c r="A5817" t="str">
        <f t="shared" si="90"/>
        <v/>
      </c>
    </row>
    <row r="5818" spans="1:1">
      <c r="A5818" t="str">
        <f t="shared" si="90"/>
        <v/>
      </c>
    </row>
    <row r="5819" spans="1:1">
      <c r="A5819" t="str">
        <f t="shared" si="90"/>
        <v/>
      </c>
    </row>
    <row r="5820" spans="1:1">
      <c r="A5820" t="str">
        <f t="shared" si="90"/>
        <v/>
      </c>
    </row>
    <row r="5821" spans="1:1">
      <c r="A5821" t="str">
        <f t="shared" si="90"/>
        <v/>
      </c>
    </row>
    <row r="5822" spans="1:1">
      <c r="A5822" t="str">
        <f t="shared" si="90"/>
        <v/>
      </c>
    </row>
    <row r="5823" spans="1:1">
      <c r="A5823" t="str">
        <f t="shared" si="90"/>
        <v/>
      </c>
    </row>
    <row r="5824" spans="1:1">
      <c r="A5824" t="str">
        <f t="shared" ref="A5824:A5887" si="91">CONCATENATE(I5824, B5824)</f>
        <v/>
      </c>
    </row>
    <row r="5825" spans="1:1">
      <c r="A5825" t="str">
        <f t="shared" si="91"/>
        <v/>
      </c>
    </row>
    <row r="5826" spans="1:1">
      <c r="A5826" t="str">
        <f t="shared" si="91"/>
        <v/>
      </c>
    </row>
    <row r="5827" spans="1:1">
      <c r="A5827" t="str">
        <f t="shared" si="91"/>
        <v/>
      </c>
    </row>
    <row r="5828" spans="1:1">
      <c r="A5828" t="str">
        <f t="shared" si="91"/>
        <v/>
      </c>
    </row>
    <row r="5829" spans="1:1">
      <c r="A5829" t="str">
        <f t="shared" si="91"/>
        <v/>
      </c>
    </row>
    <row r="5830" spans="1:1">
      <c r="A5830" t="str">
        <f t="shared" si="91"/>
        <v/>
      </c>
    </row>
    <row r="5831" spans="1:1">
      <c r="A5831" t="str">
        <f t="shared" si="91"/>
        <v/>
      </c>
    </row>
    <row r="5832" spans="1:1">
      <c r="A5832" t="str">
        <f t="shared" si="91"/>
        <v/>
      </c>
    </row>
    <row r="5833" spans="1:1">
      <c r="A5833" t="str">
        <f t="shared" si="91"/>
        <v/>
      </c>
    </row>
    <row r="5834" spans="1:1">
      <c r="A5834" t="str">
        <f t="shared" si="91"/>
        <v/>
      </c>
    </row>
    <row r="5835" spans="1:1">
      <c r="A5835" t="str">
        <f t="shared" si="91"/>
        <v/>
      </c>
    </row>
    <row r="5836" spans="1:1">
      <c r="A5836" t="str">
        <f t="shared" si="91"/>
        <v/>
      </c>
    </row>
    <row r="5837" spans="1:1">
      <c r="A5837" t="str">
        <f t="shared" si="91"/>
        <v/>
      </c>
    </row>
    <row r="5838" spans="1:1">
      <c r="A5838" t="str">
        <f t="shared" si="91"/>
        <v/>
      </c>
    </row>
    <row r="5839" spans="1:1">
      <c r="A5839" t="str">
        <f t="shared" si="91"/>
        <v/>
      </c>
    </row>
    <row r="5840" spans="1:1">
      <c r="A5840" t="str">
        <f t="shared" si="91"/>
        <v/>
      </c>
    </row>
    <row r="5841" spans="1:1">
      <c r="A5841" t="str">
        <f t="shared" si="91"/>
        <v/>
      </c>
    </row>
    <row r="5842" spans="1:1">
      <c r="A5842" t="str">
        <f t="shared" si="91"/>
        <v/>
      </c>
    </row>
    <row r="5843" spans="1:1">
      <c r="A5843" t="str">
        <f t="shared" si="91"/>
        <v/>
      </c>
    </row>
    <row r="5844" spans="1:1">
      <c r="A5844" t="str">
        <f t="shared" si="91"/>
        <v/>
      </c>
    </row>
    <row r="5845" spans="1:1">
      <c r="A5845" t="str">
        <f t="shared" si="91"/>
        <v/>
      </c>
    </row>
    <row r="5846" spans="1:1">
      <c r="A5846" t="str">
        <f t="shared" si="91"/>
        <v/>
      </c>
    </row>
    <row r="5847" spans="1:1">
      <c r="A5847" t="str">
        <f t="shared" si="91"/>
        <v/>
      </c>
    </row>
    <row r="5848" spans="1:1">
      <c r="A5848" t="str">
        <f t="shared" si="91"/>
        <v/>
      </c>
    </row>
    <row r="5849" spans="1:1">
      <c r="A5849" t="str">
        <f t="shared" si="91"/>
        <v/>
      </c>
    </row>
    <row r="5850" spans="1:1">
      <c r="A5850" t="str">
        <f t="shared" si="91"/>
        <v/>
      </c>
    </row>
    <row r="5851" spans="1:1">
      <c r="A5851" t="str">
        <f t="shared" si="91"/>
        <v/>
      </c>
    </row>
    <row r="5852" spans="1:1">
      <c r="A5852" t="str">
        <f t="shared" si="91"/>
        <v/>
      </c>
    </row>
    <row r="5853" spans="1:1">
      <c r="A5853" t="str">
        <f t="shared" si="91"/>
        <v/>
      </c>
    </row>
    <row r="5854" spans="1:1">
      <c r="A5854" t="str">
        <f t="shared" si="91"/>
        <v/>
      </c>
    </row>
    <row r="5855" spans="1:1">
      <c r="A5855" t="str">
        <f t="shared" si="91"/>
        <v/>
      </c>
    </row>
    <row r="5856" spans="1:1">
      <c r="A5856" t="str">
        <f t="shared" si="91"/>
        <v/>
      </c>
    </row>
    <row r="5857" spans="1:1">
      <c r="A5857" t="str">
        <f t="shared" si="91"/>
        <v/>
      </c>
    </row>
    <row r="5858" spans="1:1">
      <c r="A5858" t="str">
        <f t="shared" si="91"/>
        <v/>
      </c>
    </row>
    <row r="5859" spans="1:1">
      <c r="A5859" t="str">
        <f t="shared" si="91"/>
        <v/>
      </c>
    </row>
    <row r="5860" spans="1:1">
      <c r="A5860" t="str">
        <f t="shared" si="91"/>
        <v/>
      </c>
    </row>
    <row r="5861" spans="1:1">
      <c r="A5861" t="str">
        <f t="shared" si="91"/>
        <v/>
      </c>
    </row>
    <row r="5862" spans="1:1">
      <c r="A5862" t="str">
        <f t="shared" si="91"/>
        <v/>
      </c>
    </row>
    <row r="5863" spans="1:1">
      <c r="A5863" t="str">
        <f t="shared" si="91"/>
        <v/>
      </c>
    </row>
    <row r="5864" spans="1:1">
      <c r="A5864" t="str">
        <f t="shared" si="91"/>
        <v/>
      </c>
    </row>
    <row r="5865" spans="1:1">
      <c r="A5865" t="str">
        <f t="shared" si="91"/>
        <v/>
      </c>
    </row>
    <row r="5866" spans="1:1">
      <c r="A5866" t="str">
        <f t="shared" si="91"/>
        <v/>
      </c>
    </row>
    <row r="5867" spans="1:1">
      <c r="A5867" t="str">
        <f t="shared" si="91"/>
        <v/>
      </c>
    </row>
    <row r="5868" spans="1:1">
      <c r="A5868" t="str">
        <f t="shared" si="91"/>
        <v/>
      </c>
    </row>
    <row r="5869" spans="1:1">
      <c r="A5869" t="str">
        <f t="shared" si="91"/>
        <v/>
      </c>
    </row>
    <row r="5870" spans="1:1">
      <c r="A5870" t="str">
        <f t="shared" si="91"/>
        <v/>
      </c>
    </row>
    <row r="5871" spans="1:1">
      <c r="A5871" t="str">
        <f t="shared" si="91"/>
        <v/>
      </c>
    </row>
    <row r="5872" spans="1:1">
      <c r="A5872" t="str">
        <f t="shared" si="91"/>
        <v/>
      </c>
    </row>
    <row r="5873" spans="1:1">
      <c r="A5873" t="str">
        <f t="shared" si="91"/>
        <v/>
      </c>
    </row>
    <row r="5874" spans="1:1">
      <c r="A5874" t="str">
        <f t="shared" si="91"/>
        <v/>
      </c>
    </row>
    <row r="5875" spans="1:1">
      <c r="A5875" t="str">
        <f t="shared" si="91"/>
        <v/>
      </c>
    </row>
    <row r="5876" spans="1:1">
      <c r="A5876" t="str">
        <f t="shared" si="91"/>
        <v/>
      </c>
    </row>
    <row r="5877" spans="1:1">
      <c r="A5877" t="str">
        <f t="shared" si="91"/>
        <v/>
      </c>
    </row>
    <row r="5878" spans="1:1">
      <c r="A5878" t="str">
        <f t="shared" si="91"/>
        <v/>
      </c>
    </row>
    <row r="5879" spans="1:1">
      <c r="A5879" t="str">
        <f t="shared" si="91"/>
        <v/>
      </c>
    </row>
    <row r="5880" spans="1:1">
      <c r="A5880" t="str">
        <f t="shared" si="91"/>
        <v/>
      </c>
    </row>
    <row r="5881" spans="1:1">
      <c r="A5881" t="str">
        <f t="shared" si="91"/>
        <v/>
      </c>
    </row>
    <row r="5882" spans="1:1">
      <c r="A5882" t="str">
        <f t="shared" si="91"/>
        <v/>
      </c>
    </row>
    <row r="5883" spans="1:1">
      <c r="A5883" t="str">
        <f t="shared" si="91"/>
        <v/>
      </c>
    </row>
    <row r="5884" spans="1:1">
      <c r="A5884" t="str">
        <f t="shared" si="91"/>
        <v/>
      </c>
    </row>
    <row r="5885" spans="1:1">
      <c r="A5885" t="str">
        <f t="shared" si="91"/>
        <v/>
      </c>
    </row>
    <row r="5886" spans="1:1">
      <c r="A5886" t="str">
        <f t="shared" si="91"/>
        <v/>
      </c>
    </row>
    <row r="5887" spans="1:1">
      <c r="A5887" t="str">
        <f t="shared" si="91"/>
        <v/>
      </c>
    </row>
    <row r="5888" spans="1:1">
      <c r="A5888" t="str">
        <f t="shared" ref="A5888:A5951" si="92">CONCATENATE(I5888, B5888)</f>
        <v/>
      </c>
    </row>
    <row r="5889" spans="1:1">
      <c r="A5889" t="str">
        <f t="shared" si="92"/>
        <v/>
      </c>
    </row>
    <row r="5890" spans="1:1">
      <c r="A5890" t="str">
        <f t="shared" si="92"/>
        <v/>
      </c>
    </row>
    <row r="5891" spans="1:1">
      <c r="A5891" t="str">
        <f t="shared" si="92"/>
        <v/>
      </c>
    </row>
    <row r="5892" spans="1:1">
      <c r="A5892" t="str">
        <f t="shared" si="92"/>
        <v/>
      </c>
    </row>
    <row r="5893" spans="1:1">
      <c r="A5893" t="str">
        <f t="shared" si="92"/>
        <v/>
      </c>
    </row>
    <row r="5894" spans="1:1">
      <c r="A5894" t="str">
        <f t="shared" si="92"/>
        <v/>
      </c>
    </row>
    <row r="5895" spans="1:1">
      <c r="A5895" t="str">
        <f t="shared" si="92"/>
        <v/>
      </c>
    </row>
    <row r="5896" spans="1:1">
      <c r="A5896" t="str">
        <f t="shared" si="92"/>
        <v/>
      </c>
    </row>
    <row r="5897" spans="1:1">
      <c r="A5897" t="str">
        <f t="shared" si="92"/>
        <v/>
      </c>
    </row>
    <row r="5898" spans="1:1">
      <c r="A5898" t="str">
        <f t="shared" si="92"/>
        <v/>
      </c>
    </row>
    <row r="5899" spans="1:1">
      <c r="A5899" t="str">
        <f t="shared" si="92"/>
        <v/>
      </c>
    </row>
    <row r="5900" spans="1:1">
      <c r="A5900" t="str">
        <f t="shared" si="92"/>
        <v/>
      </c>
    </row>
    <row r="5901" spans="1:1">
      <c r="A5901" t="str">
        <f t="shared" si="92"/>
        <v/>
      </c>
    </row>
    <row r="5902" spans="1:1">
      <c r="A5902" t="str">
        <f t="shared" si="92"/>
        <v/>
      </c>
    </row>
    <row r="5903" spans="1:1">
      <c r="A5903" t="str">
        <f t="shared" si="92"/>
        <v/>
      </c>
    </row>
    <row r="5904" spans="1:1">
      <c r="A5904" t="str">
        <f t="shared" si="92"/>
        <v/>
      </c>
    </row>
    <row r="5905" spans="1:1">
      <c r="A5905" t="str">
        <f t="shared" si="92"/>
        <v/>
      </c>
    </row>
    <row r="5906" spans="1:1">
      <c r="A5906" t="str">
        <f t="shared" si="92"/>
        <v/>
      </c>
    </row>
    <row r="5907" spans="1:1">
      <c r="A5907" t="str">
        <f t="shared" si="92"/>
        <v/>
      </c>
    </row>
    <row r="5908" spans="1:1">
      <c r="A5908" t="str">
        <f t="shared" si="92"/>
        <v/>
      </c>
    </row>
    <row r="5909" spans="1:1">
      <c r="A5909" t="str">
        <f t="shared" si="92"/>
        <v/>
      </c>
    </row>
    <row r="5910" spans="1:1">
      <c r="A5910" t="str">
        <f t="shared" si="92"/>
        <v/>
      </c>
    </row>
    <row r="5911" spans="1:1">
      <c r="A5911" t="str">
        <f t="shared" si="92"/>
        <v/>
      </c>
    </row>
    <row r="5912" spans="1:1">
      <c r="A5912" t="str">
        <f t="shared" si="92"/>
        <v/>
      </c>
    </row>
    <row r="5913" spans="1:1">
      <c r="A5913" t="str">
        <f t="shared" si="92"/>
        <v/>
      </c>
    </row>
    <row r="5914" spans="1:1">
      <c r="A5914" t="str">
        <f t="shared" si="92"/>
        <v/>
      </c>
    </row>
    <row r="5915" spans="1:1">
      <c r="A5915" t="str">
        <f t="shared" si="92"/>
        <v/>
      </c>
    </row>
    <row r="5916" spans="1:1">
      <c r="A5916" t="str">
        <f t="shared" si="92"/>
        <v/>
      </c>
    </row>
    <row r="5917" spans="1:1">
      <c r="A5917" t="str">
        <f t="shared" si="92"/>
        <v/>
      </c>
    </row>
    <row r="5918" spans="1:1">
      <c r="A5918" t="str">
        <f t="shared" si="92"/>
        <v/>
      </c>
    </row>
    <row r="5919" spans="1:1">
      <c r="A5919" t="str">
        <f t="shared" si="92"/>
        <v/>
      </c>
    </row>
    <row r="5920" spans="1:1">
      <c r="A5920" t="str">
        <f t="shared" si="92"/>
        <v/>
      </c>
    </row>
    <row r="5921" spans="1:1">
      <c r="A5921" t="str">
        <f t="shared" si="92"/>
        <v/>
      </c>
    </row>
    <row r="5922" spans="1:1">
      <c r="A5922" t="str">
        <f t="shared" si="92"/>
        <v/>
      </c>
    </row>
    <row r="5923" spans="1:1">
      <c r="A5923" t="str">
        <f t="shared" si="92"/>
        <v/>
      </c>
    </row>
    <row r="5924" spans="1:1">
      <c r="A5924" t="str">
        <f t="shared" si="92"/>
        <v/>
      </c>
    </row>
    <row r="5925" spans="1:1">
      <c r="A5925" t="str">
        <f t="shared" si="92"/>
        <v/>
      </c>
    </row>
    <row r="5926" spans="1:1">
      <c r="A5926" t="str">
        <f t="shared" si="92"/>
        <v/>
      </c>
    </row>
    <row r="5927" spans="1:1">
      <c r="A5927" t="str">
        <f t="shared" si="92"/>
        <v/>
      </c>
    </row>
    <row r="5928" spans="1:1">
      <c r="A5928" t="str">
        <f t="shared" si="92"/>
        <v/>
      </c>
    </row>
    <row r="5929" spans="1:1">
      <c r="A5929" t="str">
        <f t="shared" si="92"/>
        <v/>
      </c>
    </row>
    <row r="5930" spans="1:1">
      <c r="A5930" t="str">
        <f t="shared" si="92"/>
        <v/>
      </c>
    </row>
    <row r="5931" spans="1:1">
      <c r="A5931" t="str">
        <f t="shared" si="92"/>
        <v/>
      </c>
    </row>
    <row r="5932" spans="1:1">
      <c r="A5932" t="str">
        <f t="shared" si="92"/>
        <v/>
      </c>
    </row>
    <row r="5933" spans="1:1">
      <c r="A5933" t="str">
        <f t="shared" si="92"/>
        <v/>
      </c>
    </row>
    <row r="5934" spans="1:1">
      <c r="A5934" t="str">
        <f t="shared" si="92"/>
        <v/>
      </c>
    </row>
    <row r="5935" spans="1:1">
      <c r="A5935" t="str">
        <f t="shared" si="92"/>
        <v/>
      </c>
    </row>
    <row r="5936" spans="1:1">
      <c r="A5936" t="str">
        <f t="shared" si="92"/>
        <v/>
      </c>
    </row>
    <row r="5937" spans="1:1">
      <c r="A5937" t="str">
        <f t="shared" si="92"/>
        <v/>
      </c>
    </row>
    <row r="5938" spans="1:1">
      <c r="A5938" t="str">
        <f t="shared" si="92"/>
        <v/>
      </c>
    </row>
    <row r="5939" spans="1:1">
      <c r="A5939" t="str">
        <f t="shared" si="92"/>
        <v/>
      </c>
    </row>
    <row r="5940" spans="1:1">
      <c r="A5940" t="str">
        <f t="shared" si="92"/>
        <v/>
      </c>
    </row>
    <row r="5941" spans="1:1">
      <c r="A5941" t="str">
        <f t="shared" si="92"/>
        <v/>
      </c>
    </row>
    <row r="5942" spans="1:1">
      <c r="A5942" t="str">
        <f t="shared" si="92"/>
        <v/>
      </c>
    </row>
    <row r="5943" spans="1:1">
      <c r="A5943" t="str">
        <f t="shared" si="92"/>
        <v/>
      </c>
    </row>
    <row r="5944" spans="1:1">
      <c r="A5944" t="str">
        <f t="shared" si="92"/>
        <v/>
      </c>
    </row>
    <row r="5945" spans="1:1">
      <c r="A5945" t="str">
        <f t="shared" si="92"/>
        <v/>
      </c>
    </row>
    <row r="5946" spans="1:1">
      <c r="A5946" t="str">
        <f t="shared" si="92"/>
        <v/>
      </c>
    </row>
    <row r="5947" spans="1:1">
      <c r="A5947" t="str">
        <f t="shared" si="92"/>
        <v/>
      </c>
    </row>
    <row r="5948" spans="1:1">
      <c r="A5948" t="str">
        <f t="shared" si="92"/>
        <v/>
      </c>
    </row>
    <row r="5949" spans="1:1">
      <c r="A5949" t="str">
        <f t="shared" si="92"/>
        <v/>
      </c>
    </row>
    <row r="5950" spans="1:1">
      <c r="A5950" t="str">
        <f t="shared" si="92"/>
        <v/>
      </c>
    </row>
    <row r="5951" spans="1:1">
      <c r="A5951" t="str">
        <f t="shared" si="92"/>
        <v/>
      </c>
    </row>
    <row r="5952" spans="1:1">
      <c r="A5952" t="str">
        <f t="shared" ref="A5952:A6015" si="93">CONCATENATE(I5952, B5952)</f>
        <v/>
      </c>
    </row>
    <row r="5953" spans="1:1">
      <c r="A5953" t="str">
        <f t="shared" si="93"/>
        <v/>
      </c>
    </row>
    <row r="5954" spans="1:1">
      <c r="A5954" t="str">
        <f t="shared" si="93"/>
        <v/>
      </c>
    </row>
    <row r="5955" spans="1:1">
      <c r="A5955" t="str">
        <f t="shared" si="93"/>
        <v/>
      </c>
    </row>
    <row r="5956" spans="1:1">
      <c r="A5956" t="str">
        <f t="shared" si="93"/>
        <v/>
      </c>
    </row>
    <row r="5957" spans="1:1">
      <c r="A5957" t="str">
        <f t="shared" si="93"/>
        <v/>
      </c>
    </row>
    <row r="5958" spans="1:1">
      <c r="A5958" t="str">
        <f t="shared" si="93"/>
        <v/>
      </c>
    </row>
    <row r="5959" spans="1:1">
      <c r="A5959" t="str">
        <f t="shared" si="93"/>
        <v/>
      </c>
    </row>
    <row r="5960" spans="1:1">
      <c r="A5960" t="str">
        <f t="shared" si="93"/>
        <v/>
      </c>
    </row>
    <row r="5961" spans="1:1">
      <c r="A5961" t="str">
        <f t="shared" si="93"/>
        <v/>
      </c>
    </row>
    <row r="5962" spans="1:1">
      <c r="A5962" t="str">
        <f t="shared" si="93"/>
        <v/>
      </c>
    </row>
    <row r="5963" spans="1:1">
      <c r="A5963" t="str">
        <f t="shared" si="93"/>
        <v/>
      </c>
    </row>
    <row r="5964" spans="1:1">
      <c r="A5964" t="str">
        <f t="shared" si="93"/>
        <v/>
      </c>
    </row>
    <row r="5965" spans="1:1">
      <c r="A5965" t="str">
        <f t="shared" si="93"/>
        <v/>
      </c>
    </row>
    <row r="5966" spans="1:1">
      <c r="A5966" t="str">
        <f t="shared" si="93"/>
        <v/>
      </c>
    </row>
    <row r="5967" spans="1:1">
      <c r="A5967" t="str">
        <f t="shared" si="93"/>
        <v/>
      </c>
    </row>
    <row r="5968" spans="1:1">
      <c r="A5968" t="str">
        <f t="shared" si="93"/>
        <v/>
      </c>
    </row>
    <row r="5969" spans="1:1">
      <c r="A5969" t="str">
        <f t="shared" si="93"/>
        <v/>
      </c>
    </row>
    <row r="5970" spans="1:1">
      <c r="A5970" t="str">
        <f t="shared" si="93"/>
        <v/>
      </c>
    </row>
    <row r="5971" spans="1:1">
      <c r="A5971" t="str">
        <f t="shared" si="93"/>
        <v/>
      </c>
    </row>
    <row r="5972" spans="1:1">
      <c r="A5972" t="str">
        <f t="shared" si="93"/>
        <v/>
      </c>
    </row>
    <row r="5973" spans="1:1">
      <c r="A5973" t="str">
        <f t="shared" si="93"/>
        <v/>
      </c>
    </row>
    <row r="5974" spans="1:1">
      <c r="A5974" t="str">
        <f t="shared" si="93"/>
        <v/>
      </c>
    </row>
    <row r="5975" spans="1:1">
      <c r="A5975" t="str">
        <f t="shared" si="93"/>
        <v/>
      </c>
    </row>
    <row r="5976" spans="1:1">
      <c r="A5976" t="str">
        <f t="shared" si="93"/>
        <v/>
      </c>
    </row>
    <row r="5977" spans="1:1">
      <c r="A5977" t="str">
        <f t="shared" si="93"/>
        <v/>
      </c>
    </row>
    <row r="5978" spans="1:1">
      <c r="A5978" t="str">
        <f t="shared" si="93"/>
        <v/>
      </c>
    </row>
    <row r="5979" spans="1:1">
      <c r="A5979" t="str">
        <f t="shared" si="93"/>
        <v/>
      </c>
    </row>
    <row r="5980" spans="1:1">
      <c r="A5980" t="str">
        <f t="shared" si="93"/>
        <v/>
      </c>
    </row>
    <row r="5981" spans="1:1">
      <c r="A5981" t="str">
        <f t="shared" si="93"/>
        <v/>
      </c>
    </row>
    <row r="5982" spans="1:1">
      <c r="A5982" t="str">
        <f t="shared" si="93"/>
        <v/>
      </c>
    </row>
    <row r="5983" spans="1:1">
      <c r="A5983" t="str">
        <f t="shared" si="93"/>
        <v/>
      </c>
    </row>
    <row r="5984" spans="1:1">
      <c r="A5984" t="str">
        <f t="shared" si="93"/>
        <v/>
      </c>
    </row>
    <row r="5985" spans="1:1">
      <c r="A5985" t="str">
        <f t="shared" si="93"/>
        <v/>
      </c>
    </row>
    <row r="5986" spans="1:1">
      <c r="A5986" t="str">
        <f t="shared" si="93"/>
        <v/>
      </c>
    </row>
    <row r="5987" spans="1:1">
      <c r="A5987" t="str">
        <f t="shared" si="93"/>
        <v/>
      </c>
    </row>
    <row r="5988" spans="1:1">
      <c r="A5988" t="str">
        <f t="shared" si="93"/>
        <v/>
      </c>
    </row>
    <row r="5989" spans="1:1">
      <c r="A5989" t="str">
        <f t="shared" si="93"/>
        <v/>
      </c>
    </row>
    <row r="5990" spans="1:1">
      <c r="A5990" t="str">
        <f t="shared" si="93"/>
        <v/>
      </c>
    </row>
    <row r="5991" spans="1:1">
      <c r="A5991" t="str">
        <f t="shared" si="93"/>
        <v/>
      </c>
    </row>
    <row r="5992" spans="1:1">
      <c r="A5992" t="str">
        <f t="shared" si="93"/>
        <v/>
      </c>
    </row>
    <row r="5993" spans="1:1">
      <c r="A5993" t="str">
        <f t="shared" si="93"/>
        <v/>
      </c>
    </row>
    <row r="5994" spans="1:1">
      <c r="A5994" t="str">
        <f t="shared" si="93"/>
        <v/>
      </c>
    </row>
    <row r="5995" spans="1:1">
      <c r="A5995" t="str">
        <f t="shared" si="93"/>
        <v/>
      </c>
    </row>
    <row r="5996" spans="1:1">
      <c r="A5996" t="str">
        <f t="shared" si="93"/>
        <v/>
      </c>
    </row>
    <row r="5997" spans="1:1">
      <c r="A5997" t="str">
        <f t="shared" si="93"/>
        <v/>
      </c>
    </row>
    <row r="5998" spans="1:1">
      <c r="A5998" t="str">
        <f t="shared" si="93"/>
        <v/>
      </c>
    </row>
    <row r="5999" spans="1:1">
      <c r="A5999" t="str">
        <f t="shared" si="93"/>
        <v/>
      </c>
    </row>
    <row r="6000" spans="1:1">
      <c r="A6000" t="str">
        <f t="shared" si="93"/>
        <v/>
      </c>
    </row>
    <row r="6001" spans="1:1">
      <c r="A6001" t="str">
        <f t="shared" si="93"/>
        <v/>
      </c>
    </row>
    <row r="6002" spans="1:1">
      <c r="A6002" t="str">
        <f t="shared" si="93"/>
        <v/>
      </c>
    </row>
    <row r="6003" spans="1:1">
      <c r="A6003" t="str">
        <f t="shared" si="93"/>
        <v/>
      </c>
    </row>
    <row r="6004" spans="1:1">
      <c r="A6004" t="str">
        <f t="shared" si="93"/>
        <v/>
      </c>
    </row>
    <row r="6005" spans="1:1">
      <c r="A6005" t="str">
        <f t="shared" si="93"/>
        <v/>
      </c>
    </row>
    <row r="6006" spans="1:1">
      <c r="A6006" t="str">
        <f t="shared" si="93"/>
        <v/>
      </c>
    </row>
    <row r="6007" spans="1:1">
      <c r="A6007" t="str">
        <f t="shared" si="93"/>
        <v/>
      </c>
    </row>
    <row r="6008" spans="1:1">
      <c r="A6008" t="str">
        <f t="shared" si="93"/>
        <v/>
      </c>
    </row>
    <row r="6009" spans="1:1">
      <c r="A6009" t="str">
        <f t="shared" si="93"/>
        <v/>
      </c>
    </row>
    <row r="6010" spans="1:1">
      <c r="A6010" t="str">
        <f t="shared" si="93"/>
        <v/>
      </c>
    </row>
    <row r="6011" spans="1:1">
      <c r="A6011" t="str">
        <f t="shared" si="93"/>
        <v/>
      </c>
    </row>
    <row r="6012" spans="1:1">
      <c r="A6012" t="str">
        <f t="shared" si="93"/>
        <v/>
      </c>
    </row>
    <row r="6013" spans="1:1">
      <c r="A6013" t="str">
        <f t="shared" si="93"/>
        <v/>
      </c>
    </row>
    <row r="6014" spans="1:1">
      <c r="A6014" t="str">
        <f t="shared" si="93"/>
        <v/>
      </c>
    </row>
    <row r="6015" spans="1:1">
      <c r="A6015" t="str">
        <f t="shared" si="93"/>
        <v/>
      </c>
    </row>
    <row r="6016" spans="1:1">
      <c r="A6016" t="str">
        <f t="shared" ref="A6016:A6079" si="94">CONCATENATE(I6016, B6016)</f>
        <v/>
      </c>
    </row>
    <row r="6017" spans="1:1">
      <c r="A6017" t="str">
        <f t="shared" si="94"/>
        <v/>
      </c>
    </row>
    <row r="6018" spans="1:1">
      <c r="A6018" t="str">
        <f t="shared" si="94"/>
        <v/>
      </c>
    </row>
    <row r="6019" spans="1:1">
      <c r="A6019" t="str">
        <f t="shared" si="94"/>
        <v/>
      </c>
    </row>
    <row r="6020" spans="1:1">
      <c r="A6020" t="str">
        <f t="shared" si="94"/>
        <v/>
      </c>
    </row>
    <row r="6021" spans="1:1">
      <c r="A6021" t="str">
        <f t="shared" si="94"/>
        <v/>
      </c>
    </row>
    <row r="6022" spans="1:1">
      <c r="A6022" t="str">
        <f t="shared" si="94"/>
        <v/>
      </c>
    </row>
    <row r="6023" spans="1:1">
      <c r="A6023" t="str">
        <f t="shared" si="94"/>
        <v/>
      </c>
    </row>
    <row r="6024" spans="1:1">
      <c r="A6024" t="str">
        <f t="shared" si="94"/>
        <v/>
      </c>
    </row>
    <row r="6025" spans="1:1">
      <c r="A6025" t="str">
        <f t="shared" si="94"/>
        <v/>
      </c>
    </row>
    <row r="6026" spans="1:1">
      <c r="A6026" t="str">
        <f t="shared" si="94"/>
        <v/>
      </c>
    </row>
    <row r="6027" spans="1:1">
      <c r="A6027" t="str">
        <f t="shared" si="94"/>
        <v/>
      </c>
    </row>
    <row r="6028" spans="1:1">
      <c r="A6028" t="str">
        <f t="shared" si="94"/>
        <v/>
      </c>
    </row>
    <row r="6029" spans="1:1">
      <c r="A6029" t="str">
        <f t="shared" si="94"/>
        <v/>
      </c>
    </row>
    <row r="6030" spans="1:1">
      <c r="A6030" t="str">
        <f t="shared" si="94"/>
        <v/>
      </c>
    </row>
    <row r="6031" spans="1:1">
      <c r="A6031" t="str">
        <f t="shared" si="94"/>
        <v/>
      </c>
    </row>
    <row r="6032" spans="1:1">
      <c r="A6032" t="str">
        <f t="shared" si="94"/>
        <v/>
      </c>
    </row>
    <row r="6033" spans="1:1">
      <c r="A6033" t="str">
        <f t="shared" si="94"/>
        <v/>
      </c>
    </row>
    <row r="6034" spans="1:1">
      <c r="A6034" t="str">
        <f t="shared" si="94"/>
        <v/>
      </c>
    </row>
    <row r="6035" spans="1:1">
      <c r="A6035" t="str">
        <f t="shared" si="94"/>
        <v/>
      </c>
    </row>
    <row r="6036" spans="1:1">
      <c r="A6036" t="str">
        <f t="shared" si="94"/>
        <v/>
      </c>
    </row>
    <row r="6037" spans="1:1">
      <c r="A6037" t="str">
        <f t="shared" si="94"/>
        <v/>
      </c>
    </row>
    <row r="6038" spans="1:1">
      <c r="A6038" t="str">
        <f t="shared" si="94"/>
        <v/>
      </c>
    </row>
    <row r="6039" spans="1:1">
      <c r="A6039" t="str">
        <f t="shared" si="94"/>
        <v/>
      </c>
    </row>
    <row r="6040" spans="1:1">
      <c r="A6040" t="str">
        <f t="shared" si="94"/>
        <v/>
      </c>
    </row>
    <row r="6041" spans="1:1">
      <c r="A6041" t="str">
        <f t="shared" si="94"/>
        <v/>
      </c>
    </row>
    <row r="6042" spans="1:1">
      <c r="A6042" t="str">
        <f t="shared" si="94"/>
        <v/>
      </c>
    </row>
    <row r="6043" spans="1:1">
      <c r="A6043" t="str">
        <f t="shared" si="94"/>
        <v/>
      </c>
    </row>
    <row r="6044" spans="1:1">
      <c r="A6044" t="str">
        <f t="shared" si="94"/>
        <v/>
      </c>
    </row>
    <row r="6045" spans="1:1">
      <c r="A6045" t="str">
        <f t="shared" si="94"/>
        <v/>
      </c>
    </row>
    <row r="6046" spans="1:1">
      <c r="A6046" t="str">
        <f t="shared" si="94"/>
        <v/>
      </c>
    </row>
    <row r="6047" spans="1:1">
      <c r="A6047" t="str">
        <f t="shared" si="94"/>
        <v/>
      </c>
    </row>
    <row r="6048" spans="1:1">
      <c r="A6048" t="str">
        <f t="shared" si="94"/>
        <v/>
      </c>
    </row>
    <row r="6049" spans="1:1">
      <c r="A6049" t="str">
        <f t="shared" si="94"/>
        <v/>
      </c>
    </row>
    <row r="6050" spans="1:1">
      <c r="A6050" t="str">
        <f t="shared" si="94"/>
        <v/>
      </c>
    </row>
    <row r="6051" spans="1:1">
      <c r="A6051" t="str">
        <f t="shared" si="94"/>
        <v/>
      </c>
    </row>
    <row r="6052" spans="1:1">
      <c r="A6052" t="str">
        <f t="shared" si="94"/>
        <v/>
      </c>
    </row>
    <row r="6053" spans="1:1">
      <c r="A6053" t="str">
        <f t="shared" si="94"/>
        <v/>
      </c>
    </row>
    <row r="6054" spans="1:1">
      <c r="A6054" t="str">
        <f t="shared" si="94"/>
        <v/>
      </c>
    </row>
    <row r="6055" spans="1:1">
      <c r="A6055" t="str">
        <f t="shared" si="94"/>
        <v/>
      </c>
    </row>
    <row r="6056" spans="1:1">
      <c r="A6056" t="str">
        <f t="shared" si="94"/>
        <v/>
      </c>
    </row>
    <row r="6057" spans="1:1">
      <c r="A6057" t="str">
        <f t="shared" si="94"/>
        <v/>
      </c>
    </row>
    <row r="6058" spans="1:1">
      <c r="A6058" t="str">
        <f t="shared" si="94"/>
        <v/>
      </c>
    </row>
    <row r="6059" spans="1:1">
      <c r="A6059" t="str">
        <f t="shared" si="94"/>
        <v/>
      </c>
    </row>
    <row r="6060" spans="1:1">
      <c r="A6060" t="str">
        <f t="shared" si="94"/>
        <v/>
      </c>
    </row>
    <row r="6061" spans="1:1">
      <c r="A6061" t="str">
        <f t="shared" si="94"/>
        <v/>
      </c>
    </row>
    <row r="6062" spans="1:1">
      <c r="A6062" t="str">
        <f t="shared" si="94"/>
        <v/>
      </c>
    </row>
    <row r="6063" spans="1:1">
      <c r="A6063" t="str">
        <f t="shared" si="94"/>
        <v/>
      </c>
    </row>
    <row r="6064" spans="1:1">
      <c r="A6064" t="str">
        <f t="shared" si="94"/>
        <v/>
      </c>
    </row>
    <row r="6065" spans="1:1">
      <c r="A6065" t="str">
        <f t="shared" si="94"/>
        <v/>
      </c>
    </row>
    <row r="6066" spans="1:1">
      <c r="A6066" t="str">
        <f t="shared" si="94"/>
        <v/>
      </c>
    </row>
    <row r="6067" spans="1:1">
      <c r="A6067" t="str">
        <f t="shared" si="94"/>
        <v/>
      </c>
    </row>
    <row r="6068" spans="1:1">
      <c r="A6068" t="str">
        <f t="shared" si="94"/>
        <v/>
      </c>
    </row>
    <row r="6069" spans="1:1">
      <c r="A6069" t="str">
        <f t="shared" si="94"/>
        <v/>
      </c>
    </row>
    <row r="6070" spans="1:1">
      <c r="A6070" t="str">
        <f t="shared" si="94"/>
        <v/>
      </c>
    </row>
    <row r="6071" spans="1:1">
      <c r="A6071" t="str">
        <f t="shared" si="94"/>
        <v/>
      </c>
    </row>
    <row r="6072" spans="1:1">
      <c r="A6072" t="str">
        <f t="shared" si="94"/>
        <v/>
      </c>
    </row>
    <row r="6073" spans="1:1">
      <c r="A6073" t="str">
        <f t="shared" si="94"/>
        <v/>
      </c>
    </row>
    <row r="6074" spans="1:1">
      <c r="A6074" t="str">
        <f t="shared" si="94"/>
        <v/>
      </c>
    </row>
    <row r="6075" spans="1:1">
      <c r="A6075" t="str">
        <f t="shared" si="94"/>
        <v/>
      </c>
    </row>
    <row r="6076" spans="1:1">
      <c r="A6076" t="str">
        <f t="shared" si="94"/>
        <v/>
      </c>
    </row>
    <row r="6077" spans="1:1">
      <c r="A6077" t="str">
        <f t="shared" si="94"/>
        <v/>
      </c>
    </row>
    <row r="6078" spans="1:1">
      <c r="A6078" t="str">
        <f t="shared" si="94"/>
        <v/>
      </c>
    </row>
    <row r="6079" spans="1:1">
      <c r="A6079" t="str">
        <f t="shared" si="94"/>
        <v/>
      </c>
    </row>
    <row r="6080" spans="1:1">
      <c r="A6080" t="str">
        <f t="shared" ref="A6080:A6143" si="95">CONCATENATE(I6080, B6080)</f>
        <v/>
      </c>
    </row>
    <row r="6081" spans="1:1">
      <c r="A6081" t="str">
        <f t="shared" si="95"/>
        <v/>
      </c>
    </row>
    <row r="6082" spans="1:1">
      <c r="A6082" t="str">
        <f t="shared" si="95"/>
        <v/>
      </c>
    </row>
    <row r="6083" spans="1:1">
      <c r="A6083" t="str">
        <f t="shared" si="95"/>
        <v/>
      </c>
    </row>
    <row r="6084" spans="1:1">
      <c r="A6084" t="str">
        <f t="shared" si="95"/>
        <v/>
      </c>
    </row>
    <row r="6085" spans="1:1">
      <c r="A6085" t="str">
        <f t="shared" si="95"/>
        <v/>
      </c>
    </row>
    <row r="6086" spans="1:1">
      <c r="A6086" t="str">
        <f t="shared" si="95"/>
        <v/>
      </c>
    </row>
    <row r="6087" spans="1:1">
      <c r="A6087" t="str">
        <f t="shared" si="95"/>
        <v/>
      </c>
    </row>
    <row r="6088" spans="1:1">
      <c r="A6088" t="str">
        <f t="shared" si="95"/>
        <v/>
      </c>
    </row>
    <row r="6089" spans="1:1">
      <c r="A6089" t="str">
        <f t="shared" si="95"/>
        <v/>
      </c>
    </row>
    <row r="6090" spans="1:1">
      <c r="A6090" t="str">
        <f t="shared" si="95"/>
        <v/>
      </c>
    </row>
    <row r="6091" spans="1:1">
      <c r="A6091" t="str">
        <f t="shared" si="95"/>
        <v/>
      </c>
    </row>
    <row r="6092" spans="1:1">
      <c r="A6092" t="str">
        <f t="shared" si="95"/>
        <v/>
      </c>
    </row>
    <row r="6093" spans="1:1">
      <c r="A6093" t="str">
        <f t="shared" si="95"/>
        <v/>
      </c>
    </row>
    <row r="6094" spans="1:1">
      <c r="A6094" t="str">
        <f t="shared" si="95"/>
        <v/>
      </c>
    </row>
    <row r="6095" spans="1:1">
      <c r="A6095" t="str">
        <f t="shared" si="95"/>
        <v/>
      </c>
    </row>
    <row r="6096" spans="1:1">
      <c r="A6096" t="str">
        <f t="shared" si="95"/>
        <v/>
      </c>
    </row>
    <row r="6097" spans="1:1">
      <c r="A6097" t="str">
        <f t="shared" si="95"/>
        <v/>
      </c>
    </row>
    <row r="6098" spans="1:1">
      <c r="A6098" t="str">
        <f t="shared" si="95"/>
        <v/>
      </c>
    </row>
    <row r="6099" spans="1:1">
      <c r="A6099" t="str">
        <f t="shared" si="95"/>
        <v/>
      </c>
    </row>
    <row r="6100" spans="1:1">
      <c r="A6100" t="str">
        <f t="shared" si="95"/>
        <v/>
      </c>
    </row>
    <row r="6101" spans="1:1">
      <c r="A6101" t="str">
        <f t="shared" si="95"/>
        <v/>
      </c>
    </row>
    <row r="6102" spans="1:1">
      <c r="A6102" t="str">
        <f t="shared" si="95"/>
        <v/>
      </c>
    </row>
    <row r="6103" spans="1:1">
      <c r="A6103" t="str">
        <f t="shared" si="95"/>
        <v/>
      </c>
    </row>
    <row r="6104" spans="1:1">
      <c r="A6104" t="str">
        <f t="shared" si="95"/>
        <v/>
      </c>
    </row>
    <row r="6105" spans="1:1">
      <c r="A6105" t="str">
        <f t="shared" si="95"/>
        <v/>
      </c>
    </row>
    <row r="6106" spans="1:1">
      <c r="A6106" t="str">
        <f t="shared" si="95"/>
        <v/>
      </c>
    </row>
    <row r="6107" spans="1:1">
      <c r="A6107" t="str">
        <f t="shared" si="95"/>
        <v/>
      </c>
    </row>
    <row r="6108" spans="1:1">
      <c r="A6108" t="str">
        <f t="shared" si="95"/>
        <v/>
      </c>
    </row>
    <row r="6109" spans="1:1">
      <c r="A6109" t="str">
        <f t="shared" si="95"/>
        <v/>
      </c>
    </row>
    <row r="6110" spans="1:1">
      <c r="A6110" t="str">
        <f t="shared" si="95"/>
        <v/>
      </c>
    </row>
    <row r="6111" spans="1:1">
      <c r="A6111" t="str">
        <f t="shared" si="95"/>
        <v/>
      </c>
    </row>
    <row r="6112" spans="1:1">
      <c r="A6112" t="str">
        <f t="shared" si="95"/>
        <v/>
      </c>
    </row>
    <row r="6113" spans="1:1">
      <c r="A6113" t="str">
        <f t="shared" si="95"/>
        <v/>
      </c>
    </row>
    <row r="6114" spans="1:1">
      <c r="A6114" t="str">
        <f t="shared" si="95"/>
        <v/>
      </c>
    </row>
    <row r="6115" spans="1:1">
      <c r="A6115" t="str">
        <f t="shared" si="95"/>
        <v/>
      </c>
    </row>
    <row r="6116" spans="1:1">
      <c r="A6116" t="str">
        <f t="shared" si="95"/>
        <v/>
      </c>
    </row>
    <row r="6117" spans="1:1">
      <c r="A6117" t="str">
        <f t="shared" si="95"/>
        <v/>
      </c>
    </row>
    <row r="6118" spans="1:1">
      <c r="A6118" t="str">
        <f t="shared" si="95"/>
        <v/>
      </c>
    </row>
    <row r="6119" spans="1:1">
      <c r="A6119" t="str">
        <f t="shared" si="95"/>
        <v/>
      </c>
    </row>
    <row r="6120" spans="1:1">
      <c r="A6120" t="str">
        <f t="shared" si="95"/>
        <v/>
      </c>
    </row>
    <row r="6121" spans="1:1">
      <c r="A6121" t="str">
        <f t="shared" si="95"/>
        <v/>
      </c>
    </row>
    <row r="6122" spans="1:1">
      <c r="A6122" t="str">
        <f t="shared" si="95"/>
        <v/>
      </c>
    </row>
    <row r="6123" spans="1:1">
      <c r="A6123" t="str">
        <f t="shared" si="95"/>
        <v/>
      </c>
    </row>
    <row r="6124" spans="1:1">
      <c r="A6124" t="str">
        <f t="shared" si="95"/>
        <v/>
      </c>
    </row>
    <row r="6125" spans="1:1">
      <c r="A6125" t="str">
        <f t="shared" si="95"/>
        <v/>
      </c>
    </row>
    <row r="6126" spans="1:1">
      <c r="A6126" t="str">
        <f t="shared" si="95"/>
        <v/>
      </c>
    </row>
    <row r="6127" spans="1:1">
      <c r="A6127" t="str">
        <f t="shared" si="95"/>
        <v/>
      </c>
    </row>
    <row r="6128" spans="1:1">
      <c r="A6128" t="str">
        <f t="shared" si="95"/>
        <v/>
      </c>
    </row>
    <row r="6129" spans="1:1">
      <c r="A6129" t="str">
        <f t="shared" si="95"/>
        <v/>
      </c>
    </row>
    <row r="6130" spans="1:1">
      <c r="A6130" t="str">
        <f t="shared" si="95"/>
        <v/>
      </c>
    </row>
    <row r="6131" spans="1:1">
      <c r="A6131" t="str">
        <f t="shared" si="95"/>
        <v/>
      </c>
    </row>
    <row r="6132" spans="1:1">
      <c r="A6132" t="str">
        <f t="shared" si="95"/>
        <v/>
      </c>
    </row>
    <row r="6133" spans="1:1">
      <c r="A6133" t="str">
        <f t="shared" si="95"/>
        <v/>
      </c>
    </row>
    <row r="6134" spans="1:1">
      <c r="A6134" t="str">
        <f t="shared" si="95"/>
        <v/>
      </c>
    </row>
    <row r="6135" spans="1:1">
      <c r="A6135" t="str">
        <f t="shared" si="95"/>
        <v/>
      </c>
    </row>
    <row r="6136" spans="1:1">
      <c r="A6136" t="str">
        <f t="shared" si="95"/>
        <v/>
      </c>
    </row>
    <row r="6137" spans="1:1">
      <c r="A6137" t="str">
        <f t="shared" si="95"/>
        <v/>
      </c>
    </row>
    <row r="6138" spans="1:1">
      <c r="A6138" t="str">
        <f t="shared" si="95"/>
        <v/>
      </c>
    </row>
    <row r="6139" spans="1:1">
      <c r="A6139" t="str">
        <f t="shared" si="95"/>
        <v/>
      </c>
    </row>
    <row r="6140" spans="1:1">
      <c r="A6140" t="str">
        <f t="shared" si="95"/>
        <v/>
      </c>
    </row>
    <row r="6141" spans="1:1">
      <c r="A6141" t="str">
        <f t="shared" si="95"/>
        <v/>
      </c>
    </row>
    <row r="6142" spans="1:1">
      <c r="A6142" t="str">
        <f t="shared" si="95"/>
        <v/>
      </c>
    </row>
    <row r="6143" spans="1:1">
      <c r="A6143" t="str">
        <f t="shared" si="95"/>
        <v/>
      </c>
    </row>
    <row r="6144" spans="1:1">
      <c r="A6144" t="str">
        <f t="shared" ref="A6144:A6207" si="96">CONCATENATE(I6144, B6144)</f>
        <v/>
      </c>
    </row>
    <row r="6145" spans="1:1">
      <c r="A6145" t="str">
        <f t="shared" si="96"/>
        <v/>
      </c>
    </row>
    <row r="6146" spans="1:1">
      <c r="A6146" t="str">
        <f t="shared" si="96"/>
        <v/>
      </c>
    </row>
    <row r="6147" spans="1:1">
      <c r="A6147" t="str">
        <f t="shared" si="96"/>
        <v/>
      </c>
    </row>
    <row r="6148" spans="1:1">
      <c r="A6148" t="str">
        <f t="shared" si="96"/>
        <v/>
      </c>
    </row>
    <row r="6149" spans="1:1">
      <c r="A6149" t="str">
        <f t="shared" si="96"/>
        <v/>
      </c>
    </row>
    <row r="6150" spans="1:1">
      <c r="A6150" t="str">
        <f t="shared" si="96"/>
        <v/>
      </c>
    </row>
    <row r="6151" spans="1:1">
      <c r="A6151" t="str">
        <f t="shared" si="96"/>
        <v/>
      </c>
    </row>
    <row r="6152" spans="1:1">
      <c r="A6152" t="str">
        <f t="shared" si="96"/>
        <v/>
      </c>
    </row>
    <row r="6153" spans="1:1">
      <c r="A6153" t="str">
        <f t="shared" si="96"/>
        <v/>
      </c>
    </row>
    <row r="6154" spans="1:1">
      <c r="A6154" t="str">
        <f t="shared" si="96"/>
        <v/>
      </c>
    </row>
    <row r="6155" spans="1:1">
      <c r="A6155" t="str">
        <f t="shared" si="96"/>
        <v/>
      </c>
    </row>
    <row r="6156" spans="1:1">
      <c r="A6156" t="str">
        <f t="shared" si="96"/>
        <v/>
      </c>
    </row>
    <row r="6157" spans="1:1">
      <c r="A6157" t="str">
        <f t="shared" si="96"/>
        <v/>
      </c>
    </row>
    <row r="6158" spans="1:1">
      <c r="A6158" t="str">
        <f t="shared" si="96"/>
        <v/>
      </c>
    </row>
    <row r="6159" spans="1:1">
      <c r="A6159" t="str">
        <f t="shared" si="96"/>
        <v/>
      </c>
    </row>
    <row r="6160" spans="1:1">
      <c r="A6160" t="str">
        <f t="shared" si="96"/>
        <v/>
      </c>
    </row>
    <row r="6161" spans="1:1">
      <c r="A6161" t="str">
        <f t="shared" si="96"/>
        <v/>
      </c>
    </row>
    <row r="6162" spans="1:1">
      <c r="A6162" t="str">
        <f t="shared" si="96"/>
        <v/>
      </c>
    </row>
    <row r="6163" spans="1:1">
      <c r="A6163" t="str">
        <f t="shared" si="96"/>
        <v/>
      </c>
    </row>
    <row r="6164" spans="1:1">
      <c r="A6164" t="str">
        <f t="shared" si="96"/>
        <v/>
      </c>
    </row>
    <row r="6165" spans="1:1">
      <c r="A6165" t="str">
        <f t="shared" si="96"/>
        <v/>
      </c>
    </row>
    <row r="6166" spans="1:1">
      <c r="A6166" t="str">
        <f t="shared" si="96"/>
        <v/>
      </c>
    </row>
    <row r="6167" spans="1:1">
      <c r="A6167" t="str">
        <f t="shared" si="96"/>
        <v/>
      </c>
    </row>
    <row r="6168" spans="1:1">
      <c r="A6168" t="str">
        <f t="shared" si="96"/>
        <v/>
      </c>
    </row>
    <row r="6169" spans="1:1">
      <c r="A6169" t="str">
        <f t="shared" si="96"/>
        <v/>
      </c>
    </row>
    <row r="6170" spans="1:1">
      <c r="A6170" t="str">
        <f t="shared" si="96"/>
        <v/>
      </c>
    </row>
    <row r="6171" spans="1:1">
      <c r="A6171" t="str">
        <f t="shared" si="96"/>
        <v/>
      </c>
    </row>
    <row r="6172" spans="1:1">
      <c r="A6172" t="str">
        <f t="shared" si="96"/>
        <v/>
      </c>
    </row>
    <row r="6173" spans="1:1">
      <c r="A6173" t="str">
        <f t="shared" si="96"/>
        <v/>
      </c>
    </row>
    <row r="6174" spans="1:1">
      <c r="A6174" t="str">
        <f t="shared" si="96"/>
        <v/>
      </c>
    </row>
    <row r="6175" spans="1:1">
      <c r="A6175" t="str">
        <f t="shared" si="96"/>
        <v/>
      </c>
    </row>
    <row r="6176" spans="1:1">
      <c r="A6176" t="str">
        <f t="shared" si="96"/>
        <v/>
      </c>
    </row>
    <row r="6177" spans="1:1">
      <c r="A6177" t="str">
        <f t="shared" si="96"/>
        <v/>
      </c>
    </row>
    <row r="6178" spans="1:1">
      <c r="A6178" t="str">
        <f t="shared" si="96"/>
        <v/>
      </c>
    </row>
    <row r="6179" spans="1:1">
      <c r="A6179" t="str">
        <f t="shared" si="96"/>
        <v/>
      </c>
    </row>
    <row r="6180" spans="1:1">
      <c r="A6180" t="str">
        <f t="shared" si="96"/>
        <v/>
      </c>
    </row>
    <row r="6181" spans="1:1">
      <c r="A6181" t="str">
        <f t="shared" si="96"/>
        <v/>
      </c>
    </row>
    <row r="6182" spans="1:1">
      <c r="A6182" t="str">
        <f t="shared" si="96"/>
        <v/>
      </c>
    </row>
    <row r="6183" spans="1:1">
      <c r="A6183" t="str">
        <f t="shared" si="96"/>
        <v/>
      </c>
    </row>
    <row r="6184" spans="1:1">
      <c r="A6184" t="str">
        <f t="shared" si="96"/>
        <v/>
      </c>
    </row>
    <row r="6185" spans="1:1">
      <c r="A6185" t="str">
        <f t="shared" si="96"/>
        <v/>
      </c>
    </row>
    <row r="6186" spans="1:1">
      <c r="A6186" t="str">
        <f t="shared" si="96"/>
        <v/>
      </c>
    </row>
    <row r="6187" spans="1:1">
      <c r="A6187" t="str">
        <f t="shared" si="96"/>
        <v/>
      </c>
    </row>
    <row r="6188" spans="1:1">
      <c r="A6188" t="str">
        <f t="shared" si="96"/>
        <v/>
      </c>
    </row>
    <row r="6189" spans="1:1">
      <c r="A6189" t="str">
        <f t="shared" si="96"/>
        <v/>
      </c>
    </row>
    <row r="6190" spans="1:1">
      <c r="A6190" t="str">
        <f t="shared" si="96"/>
        <v/>
      </c>
    </row>
    <row r="6191" spans="1:1">
      <c r="A6191" t="str">
        <f t="shared" si="96"/>
        <v/>
      </c>
    </row>
    <row r="6192" spans="1:1">
      <c r="A6192" t="str">
        <f t="shared" si="96"/>
        <v/>
      </c>
    </row>
    <row r="6193" spans="1:1">
      <c r="A6193" t="str">
        <f t="shared" si="96"/>
        <v/>
      </c>
    </row>
    <row r="6194" spans="1:1">
      <c r="A6194" t="str">
        <f t="shared" si="96"/>
        <v/>
      </c>
    </row>
    <row r="6195" spans="1:1">
      <c r="A6195" t="str">
        <f t="shared" si="96"/>
        <v/>
      </c>
    </row>
    <row r="6196" spans="1:1">
      <c r="A6196" t="str">
        <f t="shared" si="96"/>
        <v/>
      </c>
    </row>
    <row r="6197" spans="1:1">
      <c r="A6197" t="str">
        <f t="shared" si="96"/>
        <v/>
      </c>
    </row>
    <row r="6198" spans="1:1">
      <c r="A6198" t="str">
        <f t="shared" si="96"/>
        <v/>
      </c>
    </row>
    <row r="6199" spans="1:1">
      <c r="A6199" t="str">
        <f t="shared" si="96"/>
        <v/>
      </c>
    </row>
    <row r="6200" spans="1:1">
      <c r="A6200" t="str">
        <f t="shared" si="96"/>
        <v/>
      </c>
    </row>
    <row r="6201" spans="1:1">
      <c r="A6201" t="str">
        <f t="shared" si="96"/>
        <v/>
      </c>
    </row>
    <row r="6202" spans="1:1">
      <c r="A6202" t="str">
        <f t="shared" si="96"/>
        <v/>
      </c>
    </row>
    <row r="6203" spans="1:1">
      <c r="A6203" t="str">
        <f t="shared" si="96"/>
        <v/>
      </c>
    </row>
    <row r="6204" spans="1:1">
      <c r="A6204" t="str">
        <f t="shared" si="96"/>
        <v/>
      </c>
    </row>
    <row r="6205" spans="1:1">
      <c r="A6205" t="str">
        <f t="shared" si="96"/>
        <v/>
      </c>
    </row>
    <row r="6206" spans="1:1">
      <c r="A6206" t="str">
        <f t="shared" si="96"/>
        <v/>
      </c>
    </row>
    <row r="6207" spans="1:1">
      <c r="A6207" t="str">
        <f t="shared" si="96"/>
        <v/>
      </c>
    </row>
    <row r="6208" spans="1:1">
      <c r="A6208" t="str">
        <f t="shared" ref="A6208:A6271" si="97">CONCATENATE(I6208, B6208)</f>
        <v/>
      </c>
    </row>
    <row r="6209" spans="1:1">
      <c r="A6209" t="str">
        <f t="shared" si="97"/>
        <v/>
      </c>
    </row>
    <row r="6210" spans="1:1">
      <c r="A6210" t="str">
        <f t="shared" si="97"/>
        <v/>
      </c>
    </row>
    <row r="6211" spans="1:1">
      <c r="A6211" t="str">
        <f t="shared" si="97"/>
        <v/>
      </c>
    </row>
    <row r="6212" spans="1:1">
      <c r="A6212" t="str">
        <f t="shared" si="97"/>
        <v/>
      </c>
    </row>
    <row r="6213" spans="1:1">
      <c r="A6213" t="str">
        <f t="shared" si="97"/>
        <v/>
      </c>
    </row>
    <row r="6214" spans="1:1">
      <c r="A6214" t="str">
        <f t="shared" si="97"/>
        <v/>
      </c>
    </row>
    <row r="6215" spans="1:1">
      <c r="A6215" t="str">
        <f t="shared" si="97"/>
        <v/>
      </c>
    </row>
    <row r="6216" spans="1:1">
      <c r="A6216" t="str">
        <f t="shared" si="97"/>
        <v/>
      </c>
    </row>
    <row r="6217" spans="1:1">
      <c r="A6217" t="str">
        <f t="shared" si="97"/>
        <v/>
      </c>
    </row>
    <row r="6218" spans="1:1">
      <c r="A6218" t="str">
        <f t="shared" si="97"/>
        <v/>
      </c>
    </row>
    <row r="6219" spans="1:1">
      <c r="A6219" t="str">
        <f t="shared" si="97"/>
        <v/>
      </c>
    </row>
    <row r="6220" spans="1:1">
      <c r="A6220" t="str">
        <f t="shared" si="97"/>
        <v/>
      </c>
    </row>
    <row r="6221" spans="1:1">
      <c r="A6221" t="str">
        <f t="shared" si="97"/>
        <v/>
      </c>
    </row>
    <row r="6222" spans="1:1">
      <c r="A6222" t="str">
        <f t="shared" si="97"/>
        <v/>
      </c>
    </row>
    <row r="6223" spans="1:1">
      <c r="A6223" t="str">
        <f t="shared" si="97"/>
        <v/>
      </c>
    </row>
    <row r="6224" spans="1:1">
      <c r="A6224" t="str">
        <f t="shared" si="97"/>
        <v/>
      </c>
    </row>
    <row r="6225" spans="1:1">
      <c r="A6225" t="str">
        <f t="shared" si="97"/>
        <v/>
      </c>
    </row>
    <row r="6226" spans="1:1">
      <c r="A6226" t="str">
        <f t="shared" si="97"/>
        <v/>
      </c>
    </row>
    <row r="6227" spans="1:1">
      <c r="A6227" t="str">
        <f t="shared" si="97"/>
        <v/>
      </c>
    </row>
    <row r="6228" spans="1:1">
      <c r="A6228" t="str">
        <f t="shared" si="97"/>
        <v/>
      </c>
    </row>
    <row r="6229" spans="1:1">
      <c r="A6229" t="str">
        <f t="shared" si="97"/>
        <v/>
      </c>
    </row>
    <row r="6230" spans="1:1">
      <c r="A6230" t="str">
        <f t="shared" si="97"/>
        <v/>
      </c>
    </row>
    <row r="6231" spans="1:1">
      <c r="A6231" t="str">
        <f t="shared" si="97"/>
        <v/>
      </c>
    </row>
    <row r="6232" spans="1:1">
      <c r="A6232" t="str">
        <f t="shared" si="97"/>
        <v/>
      </c>
    </row>
    <row r="6233" spans="1:1">
      <c r="A6233" t="str">
        <f t="shared" si="97"/>
        <v/>
      </c>
    </row>
    <row r="6234" spans="1:1">
      <c r="A6234" t="str">
        <f t="shared" si="97"/>
        <v/>
      </c>
    </row>
    <row r="6235" spans="1:1">
      <c r="A6235" t="str">
        <f t="shared" si="97"/>
        <v/>
      </c>
    </row>
    <row r="6236" spans="1:1">
      <c r="A6236" t="str">
        <f t="shared" si="97"/>
        <v/>
      </c>
    </row>
    <row r="6237" spans="1:1">
      <c r="A6237" t="str">
        <f t="shared" si="97"/>
        <v/>
      </c>
    </row>
    <row r="6238" spans="1:1">
      <c r="A6238" t="str">
        <f t="shared" si="97"/>
        <v/>
      </c>
    </row>
    <row r="6239" spans="1:1">
      <c r="A6239" t="str">
        <f t="shared" si="97"/>
        <v/>
      </c>
    </row>
    <row r="6240" spans="1:1">
      <c r="A6240" t="str">
        <f t="shared" si="97"/>
        <v/>
      </c>
    </row>
    <row r="6241" spans="1:1">
      <c r="A6241" t="str">
        <f t="shared" si="97"/>
        <v/>
      </c>
    </row>
    <row r="6242" spans="1:1">
      <c r="A6242" t="str">
        <f t="shared" si="97"/>
        <v/>
      </c>
    </row>
    <row r="6243" spans="1:1">
      <c r="A6243" t="str">
        <f t="shared" si="97"/>
        <v/>
      </c>
    </row>
    <row r="6244" spans="1:1">
      <c r="A6244" t="str">
        <f t="shared" si="97"/>
        <v/>
      </c>
    </row>
    <row r="6245" spans="1:1">
      <c r="A6245" t="str">
        <f t="shared" si="97"/>
        <v/>
      </c>
    </row>
    <row r="6246" spans="1:1">
      <c r="A6246" t="str">
        <f t="shared" si="97"/>
        <v/>
      </c>
    </row>
    <row r="6247" spans="1:1">
      <c r="A6247" t="str">
        <f t="shared" si="97"/>
        <v/>
      </c>
    </row>
    <row r="6248" spans="1:1">
      <c r="A6248" t="str">
        <f t="shared" si="97"/>
        <v/>
      </c>
    </row>
    <row r="6249" spans="1:1">
      <c r="A6249" t="str">
        <f t="shared" si="97"/>
        <v/>
      </c>
    </row>
    <row r="6250" spans="1:1">
      <c r="A6250" t="str">
        <f t="shared" si="97"/>
        <v/>
      </c>
    </row>
    <row r="6251" spans="1:1">
      <c r="A6251" t="str">
        <f t="shared" si="97"/>
        <v/>
      </c>
    </row>
    <row r="6252" spans="1:1">
      <c r="A6252" t="str">
        <f t="shared" si="97"/>
        <v/>
      </c>
    </row>
    <row r="6253" spans="1:1">
      <c r="A6253" t="str">
        <f t="shared" si="97"/>
        <v/>
      </c>
    </row>
    <row r="6254" spans="1:1">
      <c r="A6254" t="str">
        <f t="shared" si="97"/>
        <v/>
      </c>
    </row>
    <row r="6255" spans="1:1">
      <c r="A6255" t="str">
        <f t="shared" si="97"/>
        <v/>
      </c>
    </row>
    <row r="6256" spans="1:1">
      <c r="A6256" t="str">
        <f t="shared" si="97"/>
        <v/>
      </c>
    </row>
    <row r="6257" spans="1:1">
      <c r="A6257" t="str">
        <f t="shared" si="97"/>
        <v/>
      </c>
    </row>
    <row r="6258" spans="1:1">
      <c r="A6258" t="str">
        <f t="shared" si="97"/>
        <v/>
      </c>
    </row>
    <row r="6259" spans="1:1">
      <c r="A6259" t="str">
        <f t="shared" si="97"/>
        <v/>
      </c>
    </row>
    <row r="6260" spans="1:1">
      <c r="A6260" t="str">
        <f t="shared" si="97"/>
        <v/>
      </c>
    </row>
    <row r="6261" spans="1:1">
      <c r="A6261" t="str">
        <f t="shared" si="97"/>
        <v/>
      </c>
    </row>
    <row r="6262" spans="1:1">
      <c r="A6262" t="str">
        <f t="shared" si="97"/>
        <v/>
      </c>
    </row>
    <row r="6263" spans="1:1">
      <c r="A6263" t="str">
        <f t="shared" si="97"/>
        <v/>
      </c>
    </row>
    <row r="6264" spans="1:1">
      <c r="A6264" t="str">
        <f t="shared" si="97"/>
        <v/>
      </c>
    </row>
    <row r="6265" spans="1:1">
      <c r="A6265" t="str">
        <f t="shared" si="97"/>
        <v/>
      </c>
    </row>
    <row r="6266" spans="1:1">
      <c r="A6266" t="str">
        <f t="shared" si="97"/>
        <v/>
      </c>
    </row>
    <row r="6267" spans="1:1">
      <c r="A6267" t="str">
        <f t="shared" si="97"/>
        <v/>
      </c>
    </row>
    <row r="6268" spans="1:1">
      <c r="A6268" t="str">
        <f t="shared" si="97"/>
        <v/>
      </c>
    </row>
    <row r="6269" spans="1:1">
      <c r="A6269" t="str">
        <f t="shared" si="97"/>
        <v/>
      </c>
    </row>
    <row r="6270" spans="1:1">
      <c r="A6270" t="str">
        <f t="shared" si="97"/>
        <v/>
      </c>
    </row>
    <row r="6271" spans="1:1">
      <c r="A6271" t="str">
        <f t="shared" si="97"/>
        <v/>
      </c>
    </row>
    <row r="6272" spans="1:1">
      <c r="A6272" t="str">
        <f t="shared" ref="A6272:A6335" si="98">CONCATENATE(I6272, B6272)</f>
        <v/>
      </c>
    </row>
    <row r="6273" spans="1:1">
      <c r="A6273" t="str">
        <f t="shared" si="98"/>
        <v/>
      </c>
    </row>
    <row r="6274" spans="1:1">
      <c r="A6274" t="str">
        <f t="shared" si="98"/>
        <v/>
      </c>
    </row>
    <row r="6275" spans="1:1">
      <c r="A6275" t="str">
        <f t="shared" si="98"/>
        <v/>
      </c>
    </row>
    <row r="6276" spans="1:1">
      <c r="A6276" t="str">
        <f t="shared" si="98"/>
        <v/>
      </c>
    </row>
    <row r="6277" spans="1:1">
      <c r="A6277" t="str">
        <f t="shared" si="98"/>
        <v/>
      </c>
    </row>
    <row r="6278" spans="1:1">
      <c r="A6278" t="str">
        <f t="shared" si="98"/>
        <v/>
      </c>
    </row>
    <row r="6279" spans="1:1">
      <c r="A6279" t="str">
        <f t="shared" si="98"/>
        <v/>
      </c>
    </row>
    <row r="6280" spans="1:1">
      <c r="A6280" t="str">
        <f t="shared" si="98"/>
        <v/>
      </c>
    </row>
    <row r="6281" spans="1:1">
      <c r="A6281" t="str">
        <f t="shared" si="98"/>
        <v/>
      </c>
    </row>
    <row r="6282" spans="1:1">
      <c r="A6282" t="str">
        <f t="shared" si="98"/>
        <v/>
      </c>
    </row>
    <row r="6283" spans="1:1">
      <c r="A6283" t="str">
        <f t="shared" si="98"/>
        <v/>
      </c>
    </row>
    <row r="6284" spans="1:1">
      <c r="A6284" t="str">
        <f t="shared" si="98"/>
        <v/>
      </c>
    </row>
    <row r="6285" spans="1:1">
      <c r="A6285" t="str">
        <f t="shared" si="98"/>
        <v/>
      </c>
    </row>
    <row r="6286" spans="1:1">
      <c r="A6286" t="str">
        <f t="shared" si="98"/>
        <v/>
      </c>
    </row>
    <row r="6287" spans="1:1">
      <c r="A6287" t="str">
        <f t="shared" si="98"/>
        <v/>
      </c>
    </row>
    <row r="6288" spans="1:1">
      <c r="A6288" t="str">
        <f t="shared" si="98"/>
        <v/>
      </c>
    </row>
    <row r="6289" spans="1:1">
      <c r="A6289" t="str">
        <f t="shared" si="98"/>
        <v/>
      </c>
    </row>
    <row r="6290" spans="1:1">
      <c r="A6290" t="str">
        <f t="shared" si="98"/>
        <v/>
      </c>
    </row>
    <row r="6291" spans="1:1">
      <c r="A6291" t="str">
        <f t="shared" si="98"/>
        <v/>
      </c>
    </row>
    <row r="6292" spans="1:1">
      <c r="A6292" t="str">
        <f t="shared" si="98"/>
        <v/>
      </c>
    </row>
    <row r="6293" spans="1:1">
      <c r="A6293" t="str">
        <f t="shared" si="98"/>
        <v/>
      </c>
    </row>
    <row r="6294" spans="1:1">
      <c r="A6294" t="str">
        <f t="shared" si="98"/>
        <v/>
      </c>
    </row>
    <row r="6295" spans="1:1">
      <c r="A6295" t="str">
        <f t="shared" si="98"/>
        <v/>
      </c>
    </row>
    <row r="6296" spans="1:1">
      <c r="A6296" t="str">
        <f t="shared" si="98"/>
        <v/>
      </c>
    </row>
    <row r="6297" spans="1:1">
      <c r="A6297" t="str">
        <f t="shared" si="98"/>
        <v/>
      </c>
    </row>
    <row r="6298" spans="1:1">
      <c r="A6298" t="str">
        <f t="shared" si="98"/>
        <v/>
      </c>
    </row>
    <row r="6299" spans="1:1">
      <c r="A6299" t="str">
        <f t="shared" si="98"/>
        <v/>
      </c>
    </row>
    <row r="6300" spans="1:1">
      <c r="A6300" t="str">
        <f t="shared" si="98"/>
        <v/>
      </c>
    </row>
    <row r="6301" spans="1:1">
      <c r="A6301" t="str">
        <f t="shared" si="98"/>
        <v/>
      </c>
    </row>
    <row r="6302" spans="1:1">
      <c r="A6302" t="str">
        <f t="shared" si="98"/>
        <v/>
      </c>
    </row>
    <row r="6303" spans="1:1">
      <c r="A6303" t="str">
        <f t="shared" si="98"/>
        <v/>
      </c>
    </row>
    <row r="6304" spans="1:1">
      <c r="A6304" t="str">
        <f t="shared" si="98"/>
        <v/>
      </c>
    </row>
    <row r="6305" spans="1:1">
      <c r="A6305" t="str">
        <f t="shared" si="98"/>
        <v/>
      </c>
    </row>
    <row r="6306" spans="1:1">
      <c r="A6306" t="str">
        <f t="shared" si="98"/>
        <v/>
      </c>
    </row>
    <row r="6307" spans="1:1">
      <c r="A6307" t="str">
        <f t="shared" si="98"/>
        <v/>
      </c>
    </row>
    <row r="6308" spans="1:1">
      <c r="A6308" t="str">
        <f t="shared" si="98"/>
        <v/>
      </c>
    </row>
    <row r="6309" spans="1:1">
      <c r="A6309" t="str">
        <f t="shared" si="98"/>
        <v/>
      </c>
    </row>
    <row r="6310" spans="1:1">
      <c r="A6310" t="str">
        <f t="shared" si="98"/>
        <v/>
      </c>
    </row>
    <row r="6311" spans="1:1">
      <c r="A6311" t="str">
        <f t="shared" si="98"/>
        <v/>
      </c>
    </row>
    <row r="6312" spans="1:1">
      <c r="A6312" t="str">
        <f t="shared" si="98"/>
        <v/>
      </c>
    </row>
    <row r="6313" spans="1:1">
      <c r="A6313" t="str">
        <f t="shared" si="98"/>
        <v/>
      </c>
    </row>
    <row r="6314" spans="1:1">
      <c r="A6314" t="str">
        <f t="shared" si="98"/>
        <v/>
      </c>
    </row>
    <row r="6315" spans="1:1">
      <c r="A6315" t="str">
        <f t="shared" si="98"/>
        <v/>
      </c>
    </row>
    <row r="6316" spans="1:1">
      <c r="A6316" t="str">
        <f t="shared" si="98"/>
        <v/>
      </c>
    </row>
    <row r="6317" spans="1:1">
      <c r="A6317" t="str">
        <f t="shared" si="98"/>
        <v/>
      </c>
    </row>
    <row r="6318" spans="1:1">
      <c r="A6318" t="str">
        <f t="shared" si="98"/>
        <v/>
      </c>
    </row>
    <row r="6319" spans="1:1">
      <c r="A6319" t="str">
        <f t="shared" si="98"/>
        <v/>
      </c>
    </row>
    <row r="6320" spans="1:1">
      <c r="A6320" t="str">
        <f t="shared" si="98"/>
        <v/>
      </c>
    </row>
    <row r="6321" spans="1:1">
      <c r="A6321" t="str">
        <f t="shared" si="98"/>
        <v/>
      </c>
    </row>
    <row r="6322" spans="1:1">
      <c r="A6322" t="str">
        <f t="shared" si="98"/>
        <v/>
      </c>
    </row>
    <row r="6323" spans="1:1">
      <c r="A6323" t="str">
        <f t="shared" si="98"/>
        <v/>
      </c>
    </row>
    <row r="6324" spans="1:1">
      <c r="A6324" t="str">
        <f t="shared" si="98"/>
        <v/>
      </c>
    </row>
    <row r="6325" spans="1:1">
      <c r="A6325" t="str">
        <f t="shared" si="98"/>
        <v/>
      </c>
    </row>
    <row r="6326" spans="1:1">
      <c r="A6326" t="str">
        <f t="shared" si="98"/>
        <v/>
      </c>
    </row>
    <row r="6327" spans="1:1">
      <c r="A6327" t="str">
        <f t="shared" si="98"/>
        <v/>
      </c>
    </row>
    <row r="6328" spans="1:1">
      <c r="A6328" t="str">
        <f t="shared" si="98"/>
        <v/>
      </c>
    </row>
    <row r="6329" spans="1:1">
      <c r="A6329" t="str">
        <f t="shared" si="98"/>
        <v/>
      </c>
    </row>
    <row r="6330" spans="1:1">
      <c r="A6330" t="str">
        <f t="shared" si="98"/>
        <v/>
      </c>
    </row>
    <row r="6331" spans="1:1">
      <c r="A6331" t="str">
        <f t="shared" si="98"/>
        <v/>
      </c>
    </row>
    <row r="6332" spans="1:1">
      <c r="A6332" t="str">
        <f t="shared" si="98"/>
        <v/>
      </c>
    </row>
    <row r="6333" spans="1:1">
      <c r="A6333" t="str">
        <f t="shared" si="98"/>
        <v/>
      </c>
    </row>
    <row r="6334" spans="1:1">
      <c r="A6334" t="str">
        <f t="shared" si="98"/>
        <v/>
      </c>
    </row>
    <row r="6335" spans="1:1">
      <c r="A6335" t="str">
        <f t="shared" si="98"/>
        <v/>
      </c>
    </row>
    <row r="6336" spans="1:1">
      <c r="A6336" t="str">
        <f t="shared" ref="A6336:A6399" si="99">CONCATENATE(I6336, B6336)</f>
        <v/>
      </c>
    </row>
    <row r="6337" spans="1:1">
      <c r="A6337" t="str">
        <f t="shared" si="99"/>
        <v/>
      </c>
    </row>
    <row r="6338" spans="1:1">
      <c r="A6338" t="str">
        <f t="shared" si="99"/>
        <v/>
      </c>
    </row>
    <row r="6339" spans="1:1">
      <c r="A6339" t="str">
        <f t="shared" si="99"/>
        <v/>
      </c>
    </row>
    <row r="6340" spans="1:1">
      <c r="A6340" t="str">
        <f t="shared" si="99"/>
        <v/>
      </c>
    </row>
    <row r="6341" spans="1:1">
      <c r="A6341" t="str">
        <f t="shared" si="99"/>
        <v/>
      </c>
    </row>
    <row r="6342" spans="1:1">
      <c r="A6342" t="str">
        <f t="shared" si="99"/>
        <v/>
      </c>
    </row>
    <row r="6343" spans="1:1">
      <c r="A6343" t="str">
        <f t="shared" si="99"/>
        <v/>
      </c>
    </row>
    <row r="6344" spans="1:1">
      <c r="A6344" t="str">
        <f t="shared" si="99"/>
        <v/>
      </c>
    </row>
    <row r="6345" spans="1:1">
      <c r="A6345" t="str">
        <f t="shared" si="99"/>
        <v/>
      </c>
    </row>
    <row r="6346" spans="1:1">
      <c r="A6346" t="str">
        <f t="shared" si="99"/>
        <v/>
      </c>
    </row>
    <row r="6347" spans="1:1">
      <c r="A6347" t="str">
        <f t="shared" si="99"/>
        <v/>
      </c>
    </row>
    <row r="6348" spans="1:1">
      <c r="A6348" t="str">
        <f t="shared" si="99"/>
        <v/>
      </c>
    </row>
    <row r="6349" spans="1:1">
      <c r="A6349" t="str">
        <f t="shared" si="99"/>
        <v/>
      </c>
    </row>
    <row r="6350" spans="1:1">
      <c r="A6350" t="str">
        <f t="shared" si="99"/>
        <v/>
      </c>
    </row>
    <row r="6351" spans="1:1">
      <c r="A6351" t="str">
        <f t="shared" si="99"/>
        <v/>
      </c>
    </row>
    <row r="6352" spans="1:1">
      <c r="A6352" t="str">
        <f t="shared" si="99"/>
        <v/>
      </c>
    </row>
    <row r="6353" spans="1:1">
      <c r="A6353" t="str">
        <f t="shared" si="99"/>
        <v/>
      </c>
    </row>
    <row r="6354" spans="1:1">
      <c r="A6354" t="str">
        <f t="shared" si="99"/>
        <v/>
      </c>
    </row>
    <row r="6355" spans="1:1">
      <c r="A6355" t="str">
        <f t="shared" si="99"/>
        <v/>
      </c>
    </row>
    <row r="6356" spans="1:1">
      <c r="A6356" t="str">
        <f t="shared" si="99"/>
        <v/>
      </c>
    </row>
    <row r="6357" spans="1:1">
      <c r="A6357" t="str">
        <f t="shared" si="99"/>
        <v/>
      </c>
    </row>
    <row r="6358" spans="1:1">
      <c r="A6358" t="str">
        <f t="shared" si="99"/>
        <v/>
      </c>
    </row>
    <row r="6359" spans="1:1">
      <c r="A6359" t="str">
        <f t="shared" si="99"/>
        <v/>
      </c>
    </row>
    <row r="6360" spans="1:1">
      <c r="A6360" t="str">
        <f t="shared" si="99"/>
        <v/>
      </c>
    </row>
    <row r="6361" spans="1:1">
      <c r="A6361" t="str">
        <f t="shared" si="99"/>
        <v/>
      </c>
    </row>
    <row r="6362" spans="1:1">
      <c r="A6362" t="str">
        <f t="shared" si="99"/>
        <v/>
      </c>
    </row>
    <row r="6363" spans="1:1">
      <c r="A6363" t="str">
        <f t="shared" si="99"/>
        <v/>
      </c>
    </row>
    <row r="6364" spans="1:1">
      <c r="A6364" t="str">
        <f t="shared" si="99"/>
        <v/>
      </c>
    </row>
    <row r="6365" spans="1:1">
      <c r="A6365" t="str">
        <f t="shared" si="99"/>
        <v/>
      </c>
    </row>
    <row r="6366" spans="1:1">
      <c r="A6366" t="str">
        <f t="shared" si="99"/>
        <v/>
      </c>
    </row>
    <row r="6367" spans="1:1">
      <c r="A6367" t="str">
        <f t="shared" si="99"/>
        <v/>
      </c>
    </row>
    <row r="6368" spans="1:1">
      <c r="A6368" t="str">
        <f t="shared" si="99"/>
        <v/>
      </c>
    </row>
    <row r="6369" spans="1:1">
      <c r="A6369" t="str">
        <f t="shared" si="99"/>
        <v/>
      </c>
    </row>
    <row r="6370" spans="1:1">
      <c r="A6370" t="str">
        <f t="shared" si="99"/>
        <v/>
      </c>
    </row>
    <row r="6371" spans="1:1">
      <c r="A6371" t="str">
        <f t="shared" si="99"/>
        <v/>
      </c>
    </row>
    <row r="6372" spans="1:1">
      <c r="A6372" t="str">
        <f t="shared" si="99"/>
        <v/>
      </c>
    </row>
    <row r="6373" spans="1:1">
      <c r="A6373" t="str">
        <f t="shared" si="99"/>
        <v/>
      </c>
    </row>
    <row r="6374" spans="1:1">
      <c r="A6374" t="str">
        <f t="shared" si="99"/>
        <v/>
      </c>
    </row>
    <row r="6375" spans="1:1">
      <c r="A6375" t="str">
        <f t="shared" si="99"/>
        <v/>
      </c>
    </row>
    <row r="6376" spans="1:1">
      <c r="A6376" t="str">
        <f t="shared" si="99"/>
        <v/>
      </c>
    </row>
    <row r="6377" spans="1:1">
      <c r="A6377" t="str">
        <f t="shared" si="99"/>
        <v/>
      </c>
    </row>
    <row r="6378" spans="1:1">
      <c r="A6378" t="str">
        <f t="shared" si="99"/>
        <v/>
      </c>
    </row>
    <row r="6379" spans="1:1">
      <c r="A6379" t="str">
        <f t="shared" si="99"/>
        <v/>
      </c>
    </row>
    <row r="6380" spans="1:1">
      <c r="A6380" t="str">
        <f t="shared" si="99"/>
        <v/>
      </c>
    </row>
    <row r="6381" spans="1:1">
      <c r="A6381" t="str">
        <f t="shared" si="99"/>
        <v/>
      </c>
    </row>
    <row r="6382" spans="1:1">
      <c r="A6382" t="str">
        <f t="shared" si="99"/>
        <v/>
      </c>
    </row>
    <row r="6383" spans="1:1">
      <c r="A6383" t="str">
        <f t="shared" si="99"/>
        <v/>
      </c>
    </row>
    <row r="6384" spans="1:1">
      <c r="A6384" t="str">
        <f t="shared" si="99"/>
        <v/>
      </c>
    </row>
    <row r="6385" spans="1:1">
      <c r="A6385" t="str">
        <f t="shared" si="99"/>
        <v/>
      </c>
    </row>
    <row r="6386" spans="1:1">
      <c r="A6386" t="str">
        <f t="shared" si="99"/>
        <v/>
      </c>
    </row>
    <row r="6387" spans="1:1">
      <c r="A6387" t="str">
        <f t="shared" si="99"/>
        <v/>
      </c>
    </row>
    <row r="6388" spans="1:1">
      <c r="A6388" t="str">
        <f t="shared" si="99"/>
        <v/>
      </c>
    </row>
    <row r="6389" spans="1:1">
      <c r="A6389" t="str">
        <f t="shared" si="99"/>
        <v/>
      </c>
    </row>
    <row r="6390" spans="1:1">
      <c r="A6390" t="str">
        <f t="shared" si="99"/>
        <v/>
      </c>
    </row>
    <row r="6391" spans="1:1">
      <c r="A6391" t="str">
        <f t="shared" si="99"/>
        <v/>
      </c>
    </row>
    <row r="6392" spans="1:1">
      <c r="A6392" t="str">
        <f t="shared" si="99"/>
        <v/>
      </c>
    </row>
    <row r="6393" spans="1:1">
      <c r="A6393" t="str">
        <f t="shared" si="99"/>
        <v/>
      </c>
    </row>
    <row r="6394" spans="1:1">
      <c r="A6394" t="str">
        <f t="shared" si="99"/>
        <v/>
      </c>
    </row>
    <row r="6395" spans="1:1">
      <c r="A6395" t="str">
        <f t="shared" si="99"/>
        <v/>
      </c>
    </row>
    <row r="6396" spans="1:1">
      <c r="A6396" t="str">
        <f t="shared" si="99"/>
        <v/>
      </c>
    </row>
    <row r="6397" spans="1:1">
      <c r="A6397" t="str">
        <f t="shared" si="99"/>
        <v/>
      </c>
    </row>
    <row r="6398" spans="1:1">
      <c r="A6398" t="str">
        <f t="shared" si="99"/>
        <v/>
      </c>
    </row>
    <row r="6399" spans="1:1">
      <c r="A6399" t="str">
        <f t="shared" si="99"/>
        <v/>
      </c>
    </row>
    <row r="6400" spans="1:1">
      <c r="A6400" t="str">
        <f t="shared" ref="A6400:A6463" si="100">CONCATENATE(I6400, B6400)</f>
        <v/>
      </c>
    </row>
    <row r="6401" spans="1:1">
      <c r="A6401" t="str">
        <f t="shared" si="100"/>
        <v/>
      </c>
    </row>
    <row r="6402" spans="1:1">
      <c r="A6402" t="str">
        <f t="shared" si="100"/>
        <v/>
      </c>
    </row>
    <row r="6403" spans="1:1">
      <c r="A6403" t="str">
        <f t="shared" si="100"/>
        <v/>
      </c>
    </row>
    <row r="6404" spans="1:1">
      <c r="A6404" t="str">
        <f t="shared" si="100"/>
        <v/>
      </c>
    </row>
    <row r="6405" spans="1:1">
      <c r="A6405" t="str">
        <f t="shared" si="100"/>
        <v/>
      </c>
    </row>
    <row r="6406" spans="1:1">
      <c r="A6406" t="str">
        <f t="shared" si="100"/>
        <v/>
      </c>
    </row>
    <row r="6407" spans="1:1">
      <c r="A6407" t="str">
        <f t="shared" si="100"/>
        <v/>
      </c>
    </row>
    <row r="6408" spans="1:1">
      <c r="A6408" t="str">
        <f t="shared" si="100"/>
        <v/>
      </c>
    </row>
    <row r="6409" spans="1:1">
      <c r="A6409" t="str">
        <f t="shared" si="100"/>
        <v/>
      </c>
    </row>
    <row r="6410" spans="1:1">
      <c r="A6410" t="str">
        <f t="shared" si="100"/>
        <v/>
      </c>
    </row>
    <row r="6411" spans="1:1">
      <c r="A6411" t="str">
        <f t="shared" si="100"/>
        <v/>
      </c>
    </row>
    <row r="6412" spans="1:1">
      <c r="A6412" t="str">
        <f t="shared" si="100"/>
        <v/>
      </c>
    </row>
    <row r="6413" spans="1:1">
      <c r="A6413" t="str">
        <f t="shared" si="100"/>
        <v/>
      </c>
    </row>
    <row r="6414" spans="1:1">
      <c r="A6414" t="str">
        <f t="shared" si="100"/>
        <v/>
      </c>
    </row>
    <row r="6415" spans="1:1">
      <c r="A6415" t="str">
        <f t="shared" si="100"/>
        <v/>
      </c>
    </row>
    <row r="6416" spans="1:1">
      <c r="A6416" t="str">
        <f t="shared" si="100"/>
        <v/>
      </c>
    </row>
    <row r="6417" spans="1:1">
      <c r="A6417" t="str">
        <f t="shared" si="100"/>
        <v/>
      </c>
    </row>
    <row r="6418" spans="1:1">
      <c r="A6418" t="str">
        <f t="shared" si="100"/>
        <v/>
      </c>
    </row>
    <row r="6419" spans="1:1">
      <c r="A6419" t="str">
        <f t="shared" si="100"/>
        <v/>
      </c>
    </row>
    <row r="6420" spans="1:1">
      <c r="A6420" t="str">
        <f t="shared" si="100"/>
        <v/>
      </c>
    </row>
    <row r="6421" spans="1:1">
      <c r="A6421" t="str">
        <f t="shared" si="100"/>
        <v/>
      </c>
    </row>
    <row r="6422" spans="1:1">
      <c r="A6422" t="str">
        <f t="shared" si="100"/>
        <v/>
      </c>
    </row>
    <row r="6423" spans="1:1">
      <c r="A6423" t="str">
        <f t="shared" si="100"/>
        <v/>
      </c>
    </row>
    <row r="6424" spans="1:1">
      <c r="A6424" t="str">
        <f t="shared" si="100"/>
        <v/>
      </c>
    </row>
    <row r="6425" spans="1:1">
      <c r="A6425" t="str">
        <f t="shared" si="100"/>
        <v/>
      </c>
    </row>
    <row r="6426" spans="1:1">
      <c r="A6426" t="str">
        <f t="shared" si="100"/>
        <v/>
      </c>
    </row>
    <row r="6427" spans="1:1">
      <c r="A6427" t="str">
        <f t="shared" si="100"/>
        <v/>
      </c>
    </row>
    <row r="6428" spans="1:1">
      <c r="A6428" t="str">
        <f t="shared" si="100"/>
        <v/>
      </c>
    </row>
    <row r="6429" spans="1:1">
      <c r="A6429" t="str">
        <f t="shared" si="100"/>
        <v/>
      </c>
    </row>
    <row r="6430" spans="1:1">
      <c r="A6430" t="str">
        <f t="shared" si="100"/>
        <v/>
      </c>
    </row>
    <row r="6431" spans="1:1">
      <c r="A6431" t="str">
        <f t="shared" si="100"/>
        <v/>
      </c>
    </row>
    <row r="6432" spans="1:1">
      <c r="A6432" t="str">
        <f t="shared" si="100"/>
        <v/>
      </c>
    </row>
    <row r="6433" spans="1:1">
      <c r="A6433" t="str">
        <f t="shared" si="100"/>
        <v/>
      </c>
    </row>
    <row r="6434" spans="1:1">
      <c r="A6434" t="str">
        <f t="shared" si="100"/>
        <v/>
      </c>
    </row>
    <row r="6435" spans="1:1">
      <c r="A6435" t="str">
        <f t="shared" si="100"/>
        <v/>
      </c>
    </row>
    <row r="6436" spans="1:1">
      <c r="A6436" t="str">
        <f t="shared" si="100"/>
        <v/>
      </c>
    </row>
    <row r="6437" spans="1:1">
      <c r="A6437" t="str">
        <f t="shared" si="100"/>
        <v/>
      </c>
    </row>
    <row r="6438" spans="1:1">
      <c r="A6438" t="str">
        <f t="shared" si="100"/>
        <v/>
      </c>
    </row>
    <row r="6439" spans="1:1">
      <c r="A6439" t="str">
        <f t="shared" si="100"/>
        <v/>
      </c>
    </row>
    <row r="6440" spans="1:1">
      <c r="A6440" t="str">
        <f t="shared" si="100"/>
        <v/>
      </c>
    </row>
    <row r="6441" spans="1:1">
      <c r="A6441" t="str">
        <f t="shared" si="100"/>
        <v/>
      </c>
    </row>
    <row r="6442" spans="1:1">
      <c r="A6442" t="str">
        <f t="shared" si="100"/>
        <v/>
      </c>
    </row>
    <row r="6443" spans="1:1">
      <c r="A6443" t="str">
        <f t="shared" si="100"/>
        <v/>
      </c>
    </row>
    <row r="6444" spans="1:1">
      <c r="A6444" t="str">
        <f t="shared" si="100"/>
        <v/>
      </c>
    </row>
    <row r="6445" spans="1:1">
      <c r="A6445" t="str">
        <f t="shared" si="100"/>
        <v/>
      </c>
    </row>
    <row r="6446" spans="1:1">
      <c r="A6446" t="str">
        <f t="shared" si="100"/>
        <v/>
      </c>
    </row>
    <row r="6447" spans="1:1">
      <c r="A6447" t="str">
        <f t="shared" si="100"/>
        <v/>
      </c>
    </row>
    <row r="6448" spans="1:1">
      <c r="A6448" t="str">
        <f t="shared" si="100"/>
        <v/>
      </c>
    </row>
    <row r="6449" spans="1:1">
      <c r="A6449" t="str">
        <f t="shared" si="100"/>
        <v/>
      </c>
    </row>
    <row r="6450" spans="1:1">
      <c r="A6450" t="str">
        <f t="shared" si="100"/>
        <v/>
      </c>
    </row>
    <row r="6451" spans="1:1">
      <c r="A6451" t="str">
        <f t="shared" si="100"/>
        <v/>
      </c>
    </row>
    <row r="6452" spans="1:1">
      <c r="A6452" t="str">
        <f t="shared" si="100"/>
        <v/>
      </c>
    </row>
    <row r="6453" spans="1:1">
      <c r="A6453" t="str">
        <f t="shared" si="100"/>
        <v/>
      </c>
    </row>
    <row r="6454" spans="1:1">
      <c r="A6454" t="str">
        <f t="shared" si="100"/>
        <v/>
      </c>
    </row>
    <row r="6455" spans="1:1">
      <c r="A6455" t="str">
        <f t="shared" si="100"/>
        <v/>
      </c>
    </row>
    <row r="6456" spans="1:1">
      <c r="A6456" t="str">
        <f t="shared" si="100"/>
        <v/>
      </c>
    </row>
    <row r="6457" spans="1:1">
      <c r="A6457" t="str">
        <f t="shared" si="100"/>
        <v/>
      </c>
    </row>
    <row r="6458" spans="1:1">
      <c r="A6458" t="str">
        <f t="shared" si="100"/>
        <v/>
      </c>
    </row>
    <row r="6459" spans="1:1">
      <c r="A6459" t="str">
        <f t="shared" si="100"/>
        <v/>
      </c>
    </row>
    <row r="6460" spans="1:1">
      <c r="A6460" t="str">
        <f t="shared" si="100"/>
        <v/>
      </c>
    </row>
    <row r="6461" spans="1:1">
      <c r="A6461" t="str">
        <f t="shared" si="100"/>
        <v/>
      </c>
    </row>
    <row r="6462" spans="1:1">
      <c r="A6462" t="str">
        <f t="shared" si="100"/>
        <v/>
      </c>
    </row>
    <row r="6463" spans="1:1">
      <c r="A6463" t="str">
        <f t="shared" si="100"/>
        <v/>
      </c>
    </row>
    <row r="6464" spans="1:1">
      <c r="A6464" t="str">
        <f t="shared" ref="A6464:A6527" si="101">CONCATENATE(I6464, B6464)</f>
        <v/>
      </c>
    </row>
    <row r="6465" spans="1:1">
      <c r="A6465" t="str">
        <f t="shared" si="101"/>
        <v/>
      </c>
    </row>
    <row r="6466" spans="1:1">
      <c r="A6466" t="str">
        <f t="shared" si="101"/>
        <v/>
      </c>
    </row>
    <row r="6467" spans="1:1">
      <c r="A6467" t="str">
        <f t="shared" si="101"/>
        <v/>
      </c>
    </row>
    <row r="6468" spans="1:1">
      <c r="A6468" t="str">
        <f t="shared" si="101"/>
        <v/>
      </c>
    </row>
    <row r="6469" spans="1:1">
      <c r="A6469" t="str">
        <f t="shared" si="101"/>
        <v/>
      </c>
    </row>
    <row r="6470" spans="1:1">
      <c r="A6470" t="str">
        <f t="shared" si="101"/>
        <v/>
      </c>
    </row>
    <row r="6471" spans="1:1">
      <c r="A6471" t="str">
        <f t="shared" si="101"/>
        <v/>
      </c>
    </row>
    <row r="6472" spans="1:1">
      <c r="A6472" t="str">
        <f t="shared" si="101"/>
        <v/>
      </c>
    </row>
    <row r="6473" spans="1:1">
      <c r="A6473" t="str">
        <f t="shared" si="101"/>
        <v/>
      </c>
    </row>
    <row r="6474" spans="1:1">
      <c r="A6474" t="str">
        <f t="shared" si="101"/>
        <v/>
      </c>
    </row>
    <row r="6475" spans="1:1">
      <c r="A6475" t="str">
        <f t="shared" si="101"/>
        <v/>
      </c>
    </row>
    <row r="6476" spans="1:1">
      <c r="A6476" t="str">
        <f t="shared" si="101"/>
        <v/>
      </c>
    </row>
    <row r="6477" spans="1:1">
      <c r="A6477" t="str">
        <f t="shared" si="101"/>
        <v/>
      </c>
    </row>
    <row r="6478" spans="1:1">
      <c r="A6478" t="str">
        <f t="shared" si="101"/>
        <v/>
      </c>
    </row>
    <row r="6479" spans="1:1">
      <c r="A6479" t="str">
        <f t="shared" si="101"/>
        <v/>
      </c>
    </row>
    <row r="6480" spans="1:1">
      <c r="A6480" t="str">
        <f t="shared" si="101"/>
        <v/>
      </c>
    </row>
    <row r="6481" spans="1:1">
      <c r="A6481" t="str">
        <f t="shared" si="101"/>
        <v/>
      </c>
    </row>
    <row r="6482" spans="1:1">
      <c r="A6482" t="str">
        <f t="shared" si="101"/>
        <v/>
      </c>
    </row>
    <row r="6483" spans="1:1">
      <c r="A6483" t="str">
        <f t="shared" si="101"/>
        <v/>
      </c>
    </row>
    <row r="6484" spans="1:1">
      <c r="A6484" t="str">
        <f t="shared" si="101"/>
        <v/>
      </c>
    </row>
    <row r="6485" spans="1:1">
      <c r="A6485" t="str">
        <f t="shared" si="101"/>
        <v/>
      </c>
    </row>
    <row r="6486" spans="1:1">
      <c r="A6486" t="str">
        <f t="shared" si="101"/>
        <v/>
      </c>
    </row>
    <row r="6487" spans="1:1">
      <c r="A6487" t="str">
        <f t="shared" si="101"/>
        <v/>
      </c>
    </row>
    <row r="6488" spans="1:1">
      <c r="A6488" t="str">
        <f t="shared" si="101"/>
        <v/>
      </c>
    </row>
    <row r="6489" spans="1:1">
      <c r="A6489" t="str">
        <f t="shared" si="101"/>
        <v/>
      </c>
    </row>
    <row r="6490" spans="1:1">
      <c r="A6490" t="str">
        <f t="shared" si="101"/>
        <v/>
      </c>
    </row>
    <row r="6491" spans="1:1">
      <c r="A6491" t="str">
        <f t="shared" si="101"/>
        <v/>
      </c>
    </row>
    <row r="6492" spans="1:1">
      <c r="A6492" t="str">
        <f t="shared" si="101"/>
        <v/>
      </c>
    </row>
    <row r="6493" spans="1:1">
      <c r="A6493" t="str">
        <f t="shared" si="101"/>
        <v/>
      </c>
    </row>
    <row r="6494" spans="1:1">
      <c r="A6494" t="str">
        <f t="shared" si="101"/>
        <v/>
      </c>
    </row>
    <row r="6495" spans="1:1">
      <c r="A6495" t="str">
        <f t="shared" si="101"/>
        <v/>
      </c>
    </row>
    <row r="6496" spans="1:1">
      <c r="A6496" t="str">
        <f t="shared" si="101"/>
        <v/>
      </c>
    </row>
    <row r="6497" spans="1:1">
      <c r="A6497" t="str">
        <f t="shared" si="101"/>
        <v/>
      </c>
    </row>
    <row r="6498" spans="1:1">
      <c r="A6498" t="str">
        <f t="shared" si="101"/>
        <v/>
      </c>
    </row>
    <row r="6499" spans="1:1">
      <c r="A6499" t="str">
        <f t="shared" si="101"/>
        <v/>
      </c>
    </row>
    <row r="6500" spans="1:1">
      <c r="A6500" t="str">
        <f t="shared" si="101"/>
        <v/>
      </c>
    </row>
    <row r="6501" spans="1:1">
      <c r="A6501" t="str">
        <f t="shared" si="101"/>
        <v/>
      </c>
    </row>
    <row r="6502" spans="1:1">
      <c r="A6502" t="str">
        <f t="shared" si="101"/>
        <v/>
      </c>
    </row>
    <row r="6503" spans="1:1">
      <c r="A6503" t="str">
        <f t="shared" si="101"/>
        <v/>
      </c>
    </row>
    <row r="6504" spans="1:1">
      <c r="A6504" t="str">
        <f t="shared" si="101"/>
        <v/>
      </c>
    </row>
    <row r="6505" spans="1:1">
      <c r="A6505" t="str">
        <f t="shared" si="101"/>
        <v/>
      </c>
    </row>
    <row r="6506" spans="1:1">
      <c r="A6506" t="str">
        <f t="shared" si="101"/>
        <v/>
      </c>
    </row>
    <row r="6507" spans="1:1">
      <c r="A6507" t="str">
        <f t="shared" si="101"/>
        <v/>
      </c>
    </row>
    <row r="6508" spans="1:1">
      <c r="A6508" t="str">
        <f t="shared" si="101"/>
        <v/>
      </c>
    </row>
    <row r="6509" spans="1:1">
      <c r="A6509" t="str">
        <f t="shared" si="101"/>
        <v/>
      </c>
    </row>
    <row r="6510" spans="1:1">
      <c r="A6510" t="str">
        <f t="shared" si="101"/>
        <v/>
      </c>
    </row>
    <row r="6511" spans="1:1">
      <c r="A6511" t="str">
        <f t="shared" si="101"/>
        <v/>
      </c>
    </row>
    <row r="6512" spans="1:1">
      <c r="A6512" t="str">
        <f t="shared" si="101"/>
        <v/>
      </c>
    </row>
    <row r="6513" spans="1:1">
      <c r="A6513" t="str">
        <f t="shared" si="101"/>
        <v/>
      </c>
    </row>
    <row r="6514" spans="1:1">
      <c r="A6514" t="str">
        <f t="shared" si="101"/>
        <v/>
      </c>
    </row>
    <row r="6515" spans="1:1">
      <c r="A6515" t="str">
        <f t="shared" si="101"/>
        <v/>
      </c>
    </row>
    <row r="6516" spans="1:1">
      <c r="A6516" t="str">
        <f t="shared" si="101"/>
        <v/>
      </c>
    </row>
    <row r="6517" spans="1:1">
      <c r="A6517" t="str">
        <f t="shared" si="101"/>
        <v/>
      </c>
    </row>
    <row r="6518" spans="1:1">
      <c r="A6518" t="str">
        <f t="shared" si="101"/>
        <v/>
      </c>
    </row>
    <row r="6519" spans="1:1">
      <c r="A6519" t="str">
        <f t="shared" si="101"/>
        <v/>
      </c>
    </row>
    <row r="6520" spans="1:1">
      <c r="A6520" t="str">
        <f t="shared" si="101"/>
        <v/>
      </c>
    </row>
    <row r="6521" spans="1:1">
      <c r="A6521" t="str">
        <f t="shared" si="101"/>
        <v/>
      </c>
    </row>
    <row r="6522" spans="1:1">
      <c r="A6522" t="str">
        <f t="shared" si="101"/>
        <v/>
      </c>
    </row>
    <row r="6523" spans="1:1">
      <c r="A6523" t="str">
        <f t="shared" si="101"/>
        <v/>
      </c>
    </row>
    <row r="6524" spans="1:1">
      <c r="A6524" t="str">
        <f t="shared" si="101"/>
        <v/>
      </c>
    </row>
    <row r="6525" spans="1:1">
      <c r="A6525" t="str">
        <f t="shared" si="101"/>
        <v/>
      </c>
    </row>
    <row r="6526" spans="1:1">
      <c r="A6526" t="str">
        <f t="shared" si="101"/>
        <v/>
      </c>
    </row>
    <row r="6527" spans="1:1">
      <c r="A6527" t="str">
        <f t="shared" si="101"/>
        <v/>
      </c>
    </row>
    <row r="6528" spans="1:1">
      <c r="A6528" t="str">
        <f t="shared" ref="A6528:A6591" si="102">CONCATENATE(I6528, B6528)</f>
        <v/>
      </c>
    </row>
    <row r="6529" spans="1:1">
      <c r="A6529" t="str">
        <f t="shared" si="102"/>
        <v/>
      </c>
    </row>
    <row r="6530" spans="1:1">
      <c r="A6530" t="str">
        <f t="shared" si="102"/>
        <v/>
      </c>
    </row>
    <row r="6531" spans="1:1">
      <c r="A6531" t="str">
        <f t="shared" si="102"/>
        <v/>
      </c>
    </row>
    <row r="6532" spans="1:1">
      <c r="A6532" t="str">
        <f t="shared" si="102"/>
        <v/>
      </c>
    </row>
    <row r="6533" spans="1:1">
      <c r="A6533" t="str">
        <f t="shared" si="102"/>
        <v/>
      </c>
    </row>
    <row r="6534" spans="1:1">
      <c r="A6534" t="str">
        <f t="shared" si="102"/>
        <v/>
      </c>
    </row>
    <row r="6535" spans="1:1">
      <c r="A6535" t="str">
        <f t="shared" si="102"/>
        <v/>
      </c>
    </row>
    <row r="6536" spans="1:1">
      <c r="A6536" t="str">
        <f t="shared" si="102"/>
        <v/>
      </c>
    </row>
    <row r="6537" spans="1:1">
      <c r="A6537" t="str">
        <f t="shared" si="102"/>
        <v/>
      </c>
    </row>
    <row r="6538" spans="1:1">
      <c r="A6538" t="str">
        <f t="shared" si="102"/>
        <v/>
      </c>
    </row>
    <row r="6539" spans="1:1">
      <c r="A6539" t="str">
        <f t="shared" si="102"/>
        <v/>
      </c>
    </row>
    <row r="6540" spans="1:1">
      <c r="A6540" t="str">
        <f t="shared" si="102"/>
        <v/>
      </c>
    </row>
    <row r="6541" spans="1:1">
      <c r="A6541" t="str">
        <f t="shared" si="102"/>
        <v/>
      </c>
    </row>
    <row r="6542" spans="1:1">
      <c r="A6542" t="str">
        <f t="shared" si="102"/>
        <v/>
      </c>
    </row>
    <row r="6543" spans="1:1">
      <c r="A6543" t="str">
        <f t="shared" si="102"/>
        <v/>
      </c>
    </row>
    <row r="6544" spans="1:1">
      <c r="A6544" t="str">
        <f t="shared" si="102"/>
        <v/>
      </c>
    </row>
    <row r="6545" spans="1:1">
      <c r="A6545" t="str">
        <f t="shared" si="102"/>
        <v/>
      </c>
    </row>
    <row r="6546" spans="1:1">
      <c r="A6546" t="str">
        <f t="shared" si="102"/>
        <v/>
      </c>
    </row>
    <row r="6547" spans="1:1">
      <c r="A6547" t="str">
        <f t="shared" si="102"/>
        <v/>
      </c>
    </row>
    <row r="6548" spans="1:1">
      <c r="A6548" t="str">
        <f t="shared" si="102"/>
        <v/>
      </c>
    </row>
    <row r="6549" spans="1:1">
      <c r="A6549" t="str">
        <f t="shared" si="102"/>
        <v/>
      </c>
    </row>
    <row r="6550" spans="1:1">
      <c r="A6550" t="str">
        <f t="shared" si="102"/>
        <v/>
      </c>
    </row>
    <row r="6551" spans="1:1">
      <c r="A6551" t="str">
        <f t="shared" si="102"/>
        <v/>
      </c>
    </row>
    <row r="6552" spans="1:1">
      <c r="A6552" t="str">
        <f t="shared" si="102"/>
        <v/>
      </c>
    </row>
    <row r="6553" spans="1:1">
      <c r="A6553" t="str">
        <f t="shared" si="102"/>
        <v/>
      </c>
    </row>
    <row r="6554" spans="1:1">
      <c r="A6554" t="str">
        <f t="shared" si="102"/>
        <v/>
      </c>
    </row>
    <row r="6555" spans="1:1">
      <c r="A6555" t="str">
        <f t="shared" si="102"/>
        <v/>
      </c>
    </row>
    <row r="6556" spans="1:1">
      <c r="A6556" t="str">
        <f t="shared" si="102"/>
        <v/>
      </c>
    </row>
    <row r="6557" spans="1:1">
      <c r="A6557" t="str">
        <f t="shared" si="102"/>
        <v/>
      </c>
    </row>
    <row r="6558" spans="1:1">
      <c r="A6558" t="str">
        <f t="shared" si="102"/>
        <v/>
      </c>
    </row>
    <row r="6559" spans="1:1">
      <c r="A6559" t="str">
        <f t="shared" si="102"/>
        <v/>
      </c>
    </row>
    <row r="6560" spans="1:1">
      <c r="A6560" t="str">
        <f t="shared" si="102"/>
        <v/>
      </c>
    </row>
    <row r="6561" spans="1:1">
      <c r="A6561" t="str">
        <f t="shared" si="102"/>
        <v/>
      </c>
    </row>
    <row r="6562" spans="1:1">
      <c r="A6562" t="str">
        <f t="shared" si="102"/>
        <v/>
      </c>
    </row>
    <row r="6563" spans="1:1">
      <c r="A6563" t="str">
        <f t="shared" si="102"/>
        <v/>
      </c>
    </row>
    <row r="6564" spans="1:1">
      <c r="A6564" t="str">
        <f t="shared" si="102"/>
        <v/>
      </c>
    </row>
    <row r="6565" spans="1:1">
      <c r="A6565" t="str">
        <f t="shared" si="102"/>
        <v/>
      </c>
    </row>
    <row r="6566" spans="1:1">
      <c r="A6566" t="str">
        <f t="shared" si="102"/>
        <v/>
      </c>
    </row>
    <row r="6567" spans="1:1">
      <c r="A6567" t="str">
        <f t="shared" si="102"/>
        <v/>
      </c>
    </row>
    <row r="6568" spans="1:1">
      <c r="A6568" t="str">
        <f t="shared" si="102"/>
        <v/>
      </c>
    </row>
    <row r="6569" spans="1:1">
      <c r="A6569" t="str">
        <f t="shared" si="102"/>
        <v/>
      </c>
    </row>
    <row r="6570" spans="1:1">
      <c r="A6570" t="str">
        <f t="shared" si="102"/>
        <v/>
      </c>
    </row>
    <row r="6571" spans="1:1">
      <c r="A6571" t="str">
        <f t="shared" si="102"/>
        <v/>
      </c>
    </row>
    <row r="6572" spans="1:1">
      <c r="A6572" t="str">
        <f t="shared" si="102"/>
        <v/>
      </c>
    </row>
    <row r="6573" spans="1:1">
      <c r="A6573" t="str">
        <f t="shared" si="102"/>
        <v/>
      </c>
    </row>
    <row r="6574" spans="1:1">
      <c r="A6574" t="str">
        <f t="shared" si="102"/>
        <v/>
      </c>
    </row>
    <row r="6575" spans="1:1">
      <c r="A6575" t="str">
        <f t="shared" si="102"/>
        <v/>
      </c>
    </row>
    <row r="6576" spans="1:1">
      <c r="A6576" t="str">
        <f t="shared" si="102"/>
        <v/>
      </c>
    </row>
    <row r="6577" spans="1:1">
      <c r="A6577" t="str">
        <f t="shared" si="102"/>
        <v/>
      </c>
    </row>
    <row r="6578" spans="1:1">
      <c r="A6578" t="str">
        <f t="shared" si="102"/>
        <v/>
      </c>
    </row>
    <row r="6579" spans="1:1">
      <c r="A6579" t="str">
        <f t="shared" si="102"/>
        <v/>
      </c>
    </row>
    <row r="6580" spans="1:1">
      <c r="A6580" t="str">
        <f t="shared" si="102"/>
        <v/>
      </c>
    </row>
    <row r="6581" spans="1:1">
      <c r="A6581" t="str">
        <f t="shared" si="102"/>
        <v/>
      </c>
    </row>
    <row r="6582" spans="1:1">
      <c r="A6582" t="str">
        <f t="shared" si="102"/>
        <v/>
      </c>
    </row>
    <row r="6583" spans="1:1">
      <c r="A6583" t="str">
        <f t="shared" si="102"/>
        <v/>
      </c>
    </row>
    <row r="6584" spans="1:1">
      <c r="A6584" t="str">
        <f t="shared" si="102"/>
        <v/>
      </c>
    </row>
    <row r="6585" spans="1:1">
      <c r="A6585" t="str">
        <f t="shared" si="102"/>
        <v/>
      </c>
    </row>
    <row r="6586" spans="1:1">
      <c r="A6586" t="str">
        <f t="shared" si="102"/>
        <v/>
      </c>
    </row>
    <row r="6587" spans="1:1">
      <c r="A6587" t="str">
        <f t="shared" si="102"/>
        <v/>
      </c>
    </row>
    <row r="6588" spans="1:1">
      <c r="A6588" t="str">
        <f t="shared" si="102"/>
        <v/>
      </c>
    </row>
    <row r="6589" spans="1:1">
      <c r="A6589" t="str">
        <f t="shared" si="102"/>
        <v/>
      </c>
    </row>
    <row r="6590" spans="1:1">
      <c r="A6590" t="str">
        <f t="shared" si="102"/>
        <v/>
      </c>
    </row>
    <row r="6591" spans="1:1">
      <c r="A6591" t="str">
        <f t="shared" si="102"/>
        <v/>
      </c>
    </row>
    <row r="6592" spans="1:1">
      <c r="A6592" t="str">
        <f t="shared" ref="A6592:A6655" si="103">CONCATENATE(I6592, B6592)</f>
        <v/>
      </c>
    </row>
    <row r="6593" spans="1:1">
      <c r="A6593" t="str">
        <f t="shared" si="103"/>
        <v/>
      </c>
    </row>
    <row r="6594" spans="1:1">
      <c r="A6594" t="str">
        <f t="shared" si="103"/>
        <v/>
      </c>
    </row>
    <row r="6595" spans="1:1">
      <c r="A6595" t="str">
        <f t="shared" si="103"/>
        <v/>
      </c>
    </row>
    <row r="6596" spans="1:1">
      <c r="A6596" t="str">
        <f t="shared" si="103"/>
        <v/>
      </c>
    </row>
    <row r="6597" spans="1:1">
      <c r="A6597" t="str">
        <f t="shared" si="103"/>
        <v/>
      </c>
    </row>
    <row r="6598" spans="1:1">
      <c r="A6598" t="str">
        <f t="shared" si="103"/>
        <v/>
      </c>
    </row>
    <row r="6599" spans="1:1">
      <c r="A6599" t="str">
        <f t="shared" si="103"/>
        <v/>
      </c>
    </row>
    <row r="6600" spans="1:1">
      <c r="A6600" t="str">
        <f t="shared" si="103"/>
        <v/>
      </c>
    </row>
    <row r="6601" spans="1:1">
      <c r="A6601" t="str">
        <f t="shared" si="103"/>
        <v/>
      </c>
    </row>
    <row r="6602" spans="1:1">
      <c r="A6602" t="str">
        <f t="shared" si="103"/>
        <v/>
      </c>
    </row>
    <row r="6603" spans="1:1">
      <c r="A6603" t="str">
        <f t="shared" si="103"/>
        <v/>
      </c>
    </row>
    <row r="6604" spans="1:1">
      <c r="A6604" t="str">
        <f t="shared" si="103"/>
        <v/>
      </c>
    </row>
    <row r="6605" spans="1:1">
      <c r="A6605" t="str">
        <f t="shared" si="103"/>
        <v/>
      </c>
    </row>
    <row r="6606" spans="1:1">
      <c r="A6606" t="str">
        <f t="shared" si="103"/>
        <v/>
      </c>
    </row>
    <row r="6607" spans="1:1">
      <c r="A6607" t="str">
        <f t="shared" si="103"/>
        <v/>
      </c>
    </row>
    <row r="6608" spans="1:1">
      <c r="A6608" t="str">
        <f t="shared" si="103"/>
        <v/>
      </c>
    </row>
    <row r="6609" spans="1:1">
      <c r="A6609" t="str">
        <f t="shared" si="103"/>
        <v/>
      </c>
    </row>
    <row r="6610" spans="1:1">
      <c r="A6610" t="str">
        <f t="shared" si="103"/>
        <v/>
      </c>
    </row>
    <row r="6611" spans="1:1">
      <c r="A6611" t="str">
        <f t="shared" si="103"/>
        <v/>
      </c>
    </row>
    <row r="6612" spans="1:1">
      <c r="A6612" t="str">
        <f t="shared" si="103"/>
        <v/>
      </c>
    </row>
    <row r="6613" spans="1:1">
      <c r="A6613" t="str">
        <f t="shared" si="103"/>
        <v/>
      </c>
    </row>
    <row r="6614" spans="1:1">
      <c r="A6614" t="str">
        <f t="shared" si="103"/>
        <v/>
      </c>
    </row>
    <row r="6615" spans="1:1">
      <c r="A6615" t="str">
        <f t="shared" si="103"/>
        <v/>
      </c>
    </row>
    <row r="6616" spans="1:1">
      <c r="A6616" t="str">
        <f t="shared" si="103"/>
        <v/>
      </c>
    </row>
    <row r="6617" spans="1:1">
      <c r="A6617" t="str">
        <f t="shared" si="103"/>
        <v/>
      </c>
    </row>
    <row r="6618" spans="1:1">
      <c r="A6618" t="str">
        <f t="shared" si="103"/>
        <v/>
      </c>
    </row>
    <row r="6619" spans="1:1">
      <c r="A6619" t="str">
        <f t="shared" si="103"/>
        <v/>
      </c>
    </row>
    <row r="6620" spans="1:1">
      <c r="A6620" t="str">
        <f t="shared" si="103"/>
        <v/>
      </c>
    </row>
    <row r="6621" spans="1:1">
      <c r="A6621" t="str">
        <f t="shared" si="103"/>
        <v/>
      </c>
    </row>
    <row r="6622" spans="1:1">
      <c r="A6622" t="str">
        <f t="shared" si="103"/>
        <v/>
      </c>
    </row>
    <row r="6623" spans="1:1">
      <c r="A6623" t="str">
        <f t="shared" si="103"/>
        <v/>
      </c>
    </row>
    <row r="6624" spans="1:1">
      <c r="A6624" t="str">
        <f t="shared" si="103"/>
        <v/>
      </c>
    </row>
    <row r="6625" spans="1:1">
      <c r="A6625" t="str">
        <f t="shared" si="103"/>
        <v/>
      </c>
    </row>
    <row r="6626" spans="1:1">
      <c r="A6626" t="str">
        <f t="shared" si="103"/>
        <v/>
      </c>
    </row>
    <row r="6627" spans="1:1">
      <c r="A6627" t="str">
        <f t="shared" si="103"/>
        <v/>
      </c>
    </row>
    <row r="6628" spans="1:1">
      <c r="A6628" t="str">
        <f t="shared" si="103"/>
        <v/>
      </c>
    </row>
    <row r="6629" spans="1:1">
      <c r="A6629" t="str">
        <f t="shared" si="103"/>
        <v/>
      </c>
    </row>
    <row r="6630" spans="1:1">
      <c r="A6630" t="str">
        <f t="shared" si="103"/>
        <v/>
      </c>
    </row>
    <row r="6631" spans="1:1">
      <c r="A6631" t="str">
        <f t="shared" si="103"/>
        <v/>
      </c>
    </row>
    <row r="6632" spans="1:1">
      <c r="A6632" t="str">
        <f t="shared" si="103"/>
        <v/>
      </c>
    </row>
    <row r="6633" spans="1:1">
      <c r="A6633" t="str">
        <f t="shared" si="103"/>
        <v/>
      </c>
    </row>
    <row r="6634" spans="1:1">
      <c r="A6634" t="str">
        <f t="shared" si="103"/>
        <v/>
      </c>
    </row>
    <row r="6635" spans="1:1">
      <c r="A6635" t="str">
        <f t="shared" si="103"/>
        <v/>
      </c>
    </row>
    <row r="6636" spans="1:1">
      <c r="A6636" t="str">
        <f t="shared" si="103"/>
        <v/>
      </c>
    </row>
    <row r="6637" spans="1:1">
      <c r="A6637" t="str">
        <f t="shared" si="103"/>
        <v/>
      </c>
    </row>
    <row r="6638" spans="1:1">
      <c r="A6638" t="str">
        <f t="shared" si="103"/>
        <v/>
      </c>
    </row>
    <row r="6639" spans="1:1">
      <c r="A6639" t="str">
        <f t="shared" si="103"/>
        <v/>
      </c>
    </row>
    <row r="6640" spans="1:1">
      <c r="A6640" t="str">
        <f t="shared" si="103"/>
        <v/>
      </c>
    </row>
    <row r="6641" spans="1:1">
      <c r="A6641" t="str">
        <f t="shared" si="103"/>
        <v/>
      </c>
    </row>
    <row r="6642" spans="1:1">
      <c r="A6642" t="str">
        <f t="shared" si="103"/>
        <v/>
      </c>
    </row>
    <row r="6643" spans="1:1">
      <c r="A6643" t="str">
        <f t="shared" si="103"/>
        <v/>
      </c>
    </row>
    <row r="6644" spans="1:1">
      <c r="A6644" t="str">
        <f t="shared" si="103"/>
        <v/>
      </c>
    </row>
    <row r="6645" spans="1:1">
      <c r="A6645" t="str">
        <f t="shared" si="103"/>
        <v/>
      </c>
    </row>
    <row r="6646" spans="1:1">
      <c r="A6646" t="str">
        <f t="shared" si="103"/>
        <v/>
      </c>
    </row>
    <row r="6647" spans="1:1">
      <c r="A6647" t="str">
        <f t="shared" si="103"/>
        <v/>
      </c>
    </row>
    <row r="6648" spans="1:1">
      <c r="A6648" t="str">
        <f t="shared" si="103"/>
        <v/>
      </c>
    </row>
    <row r="6649" spans="1:1">
      <c r="A6649" t="str">
        <f t="shared" si="103"/>
        <v/>
      </c>
    </row>
    <row r="6650" spans="1:1">
      <c r="A6650" t="str">
        <f t="shared" si="103"/>
        <v/>
      </c>
    </row>
    <row r="6651" spans="1:1">
      <c r="A6651" t="str">
        <f t="shared" si="103"/>
        <v/>
      </c>
    </row>
    <row r="6652" spans="1:1">
      <c r="A6652" t="str">
        <f t="shared" si="103"/>
        <v/>
      </c>
    </row>
    <row r="6653" spans="1:1">
      <c r="A6653" t="str">
        <f t="shared" si="103"/>
        <v/>
      </c>
    </row>
    <row r="6654" spans="1:1">
      <c r="A6654" t="str">
        <f t="shared" si="103"/>
        <v/>
      </c>
    </row>
    <row r="6655" spans="1:1">
      <c r="A6655" t="str">
        <f t="shared" si="103"/>
        <v/>
      </c>
    </row>
    <row r="6656" spans="1:1">
      <c r="A6656" t="str">
        <f t="shared" ref="A6656:A6719" si="104">CONCATENATE(I6656, B6656)</f>
        <v/>
      </c>
    </row>
    <row r="6657" spans="1:1">
      <c r="A6657" t="str">
        <f t="shared" si="104"/>
        <v/>
      </c>
    </row>
    <row r="6658" spans="1:1">
      <c r="A6658" t="str">
        <f t="shared" si="104"/>
        <v/>
      </c>
    </row>
    <row r="6659" spans="1:1">
      <c r="A6659" t="str">
        <f t="shared" si="104"/>
        <v/>
      </c>
    </row>
    <row r="6660" spans="1:1">
      <c r="A6660" t="str">
        <f t="shared" si="104"/>
        <v/>
      </c>
    </row>
    <row r="6661" spans="1:1">
      <c r="A6661" t="str">
        <f t="shared" si="104"/>
        <v/>
      </c>
    </row>
    <row r="6662" spans="1:1">
      <c r="A6662" t="str">
        <f t="shared" si="104"/>
        <v/>
      </c>
    </row>
    <row r="6663" spans="1:1">
      <c r="A6663" t="str">
        <f t="shared" si="104"/>
        <v/>
      </c>
    </row>
    <row r="6664" spans="1:1">
      <c r="A6664" t="str">
        <f t="shared" si="104"/>
        <v/>
      </c>
    </row>
    <row r="6665" spans="1:1">
      <c r="A6665" t="str">
        <f t="shared" si="104"/>
        <v/>
      </c>
    </row>
    <row r="6666" spans="1:1">
      <c r="A6666" t="str">
        <f t="shared" si="104"/>
        <v/>
      </c>
    </row>
    <row r="6667" spans="1:1">
      <c r="A6667" t="str">
        <f t="shared" si="104"/>
        <v/>
      </c>
    </row>
    <row r="6668" spans="1:1">
      <c r="A6668" t="str">
        <f t="shared" si="104"/>
        <v/>
      </c>
    </row>
    <row r="6669" spans="1:1">
      <c r="A6669" t="str">
        <f t="shared" si="104"/>
        <v/>
      </c>
    </row>
    <row r="6670" spans="1:1">
      <c r="A6670" t="str">
        <f t="shared" si="104"/>
        <v/>
      </c>
    </row>
    <row r="6671" spans="1:1">
      <c r="A6671" t="str">
        <f t="shared" si="104"/>
        <v/>
      </c>
    </row>
    <row r="6672" spans="1:1">
      <c r="A6672" t="str">
        <f t="shared" si="104"/>
        <v/>
      </c>
    </row>
    <row r="6673" spans="1:1">
      <c r="A6673" t="str">
        <f t="shared" si="104"/>
        <v/>
      </c>
    </row>
    <row r="6674" spans="1:1">
      <c r="A6674" t="str">
        <f t="shared" si="104"/>
        <v/>
      </c>
    </row>
    <row r="6675" spans="1:1">
      <c r="A6675" t="str">
        <f t="shared" si="104"/>
        <v/>
      </c>
    </row>
    <row r="6676" spans="1:1">
      <c r="A6676" t="str">
        <f t="shared" si="104"/>
        <v/>
      </c>
    </row>
    <row r="6677" spans="1:1">
      <c r="A6677" t="str">
        <f t="shared" si="104"/>
        <v/>
      </c>
    </row>
    <row r="6678" spans="1:1">
      <c r="A6678" t="str">
        <f t="shared" si="104"/>
        <v/>
      </c>
    </row>
    <row r="6679" spans="1:1">
      <c r="A6679" t="str">
        <f t="shared" si="104"/>
        <v/>
      </c>
    </row>
    <row r="6680" spans="1:1">
      <c r="A6680" t="str">
        <f t="shared" si="104"/>
        <v/>
      </c>
    </row>
    <row r="6681" spans="1:1">
      <c r="A6681" t="str">
        <f t="shared" si="104"/>
        <v/>
      </c>
    </row>
    <row r="6682" spans="1:1">
      <c r="A6682" t="str">
        <f t="shared" si="104"/>
        <v/>
      </c>
    </row>
    <row r="6683" spans="1:1">
      <c r="A6683" t="str">
        <f t="shared" si="104"/>
        <v/>
      </c>
    </row>
    <row r="6684" spans="1:1">
      <c r="A6684" t="str">
        <f t="shared" si="104"/>
        <v/>
      </c>
    </row>
    <row r="6685" spans="1:1">
      <c r="A6685" t="str">
        <f t="shared" si="104"/>
        <v/>
      </c>
    </row>
    <row r="6686" spans="1:1">
      <c r="A6686" t="str">
        <f t="shared" si="104"/>
        <v/>
      </c>
    </row>
    <row r="6687" spans="1:1">
      <c r="A6687" t="str">
        <f t="shared" si="104"/>
        <v/>
      </c>
    </row>
    <row r="6688" spans="1:1">
      <c r="A6688" t="str">
        <f t="shared" si="104"/>
        <v/>
      </c>
    </row>
    <row r="6689" spans="1:1">
      <c r="A6689" t="str">
        <f t="shared" si="104"/>
        <v/>
      </c>
    </row>
    <row r="6690" spans="1:1">
      <c r="A6690" t="str">
        <f t="shared" si="104"/>
        <v/>
      </c>
    </row>
    <row r="6691" spans="1:1">
      <c r="A6691" t="str">
        <f t="shared" si="104"/>
        <v/>
      </c>
    </row>
    <row r="6692" spans="1:1">
      <c r="A6692" t="str">
        <f t="shared" si="104"/>
        <v/>
      </c>
    </row>
    <row r="6693" spans="1:1">
      <c r="A6693" t="str">
        <f t="shared" si="104"/>
        <v/>
      </c>
    </row>
    <row r="6694" spans="1:1">
      <c r="A6694" t="str">
        <f t="shared" si="104"/>
        <v/>
      </c>
    </row>
    <row r="6695" spans="1:1">
      <c r="A6695" t="str">
        <f t="shared" si="104"/>
        <v/>
      </c>
    </row>
    <row r="6696" spans="1:1">
      <c r="A6696" t="str">
        <f t="shared" si="104"/>
        <v/>
      </c>
    </row>
    <row r="6697" spans="1:1">
      <c r="A6697" t="str">
        <f t="shared" si="104"/>
        <v/>
      </c>
    </row>
    <row r="6698" spans="1:1">
      <c r="A6698" t="str">
        <f t="shared" si="104"/>
        <v/>
      </c>
    </row>
    <row r="6699" spans="1:1">
      <c r="A6699" t="str">
        <f t="shared" si="104"/>
        <v/>
      </c>
    </row>
    <row r="6700" spans="1:1">
      <c r="A6700" t="str">
        <f t="shared" si="104"/>
        <v/>
      </c>
    </row>
    <row r="6701" spans="1:1">
      <c r="A6701" t="str">
        <f t="shared" si="104"/>
        <v/>
      </c>
    </row>
    <row r="6702" spans="1:1">
      <c r="A6702" t="str">
        <f t="shared" si="104"/>
        <v/>
      </c>
    </row>
    <row r="6703" spans="1:1">
      <c r="A6703" t="str">
        <f t="shared" si="104"/>
        <v/>
      </c>
    </row>
    <row r="6704" spans="1:1">
      <c r="A6704" t="str">
        <f t="shared" si="104"/>
        <v/>
      </c>
    </row>
    <row r="6705" spans="1:1">
      <c r="A6705" t="str">
        <f t="shared" si="104"/>
        <v/>
      </c>
    </row>
    <row r="6706" spans="1:1">
      <c r="A6706" t="str">
        <f t="shared" si="104"/>
        <v/>
      </c>
    </row>
    <row r="6707" spans="1:1">
      <c r="A6707" t="str">
        <f t="shared" si="104"/>
        <v/>
      </c>
    </row>
    <row r="6708" spans="1:1">
      <c r="A6708" t="str">
        <f t="shared" si="104"/>
        <v/>
      </c>
    </row>
    <row r="6709" spans="1:1">
      <c r="A6709" t="str">
        <f t="shared" si="104"/>
        <v/>
      </c>
    </row>
    <row r="6710" spans="1:1">
      <c r="A6710" t="str">
        <f t="shared" si="104"/>
        <v/>
      </c>
    </row>
    <row r="6711" spans="1:1">
      <c r="A6711" t="str">
        <f t="shared" si="104"/>
        <v/>
      </c>
    </row>
    <row r="6712" spans="1:1">
      <c r="A6712" t="str">
        <f t="shared" si="104"/>
        <v/>
      </c>
    </row>
    <row r="6713" spans="1:1">
      <c r="A6713" t="str">
        <f t="shared" si="104"/>
        <v/>
      </c>
    </row>
    <row r="6714" spans="1:1">
      <c r="A6714" t="str">
        <f t="shared" si="104"/>
        <v/>
      </c>
    </row>
    <row r="6715" spans="1:1">
      <c r="A6715" t="str">
        <f t="shared" si="104"/>
        <v/>
      </c>
    </row>
    <row r="6716" spans="1:1">
      <c r="A6716" t="str">
        <f t="shared" si="104"/>
        <v/>
      </c>
    </row>
    <row r="6717" spans="1:1">
      <c r="A6717" t="str">
        <f t="shared" si="104"/>
        <v/>
      </c>
    </row>
    <row r="6718" spans="1:1">
      <c r="A6718" t="str">
        <f t="shared" si="104"/>
        <v/>
      </c>
    </row>
    <row r="6719" spans="1:1">
      <c r="A6719" t="str">
        <f t="shared" si="104"/>
        <v/>
      </c>
    </row>
    <row r="6720" spans="1:1">
      <c r="A6720" t="str">
        <f t="shared" ref="A6720:A6783" si="105">CONCATENATE(I6720, B6720)</f>
        <v/>
      </c>
    </row>
    <row r="6721" spans="1:1">
      <c r="A6721" t="str">
        <f t="shared" si="105"/>
        <v/>
      </c>
    </row>
    <row r="6722" spans="1:1">
      <c r="A6722" t="str">
        <f t="shared" si="105"/>
        <v/>
      </c>
    </row>
    <row r="6723" spans="1:1">
      <c r="A6723" t="str">
        <f t="shared" si="105"/>
        <v/>
      </c>
    </row>
    <row r="6724" spans="1:1">
      <c r="A6724" t="str">
        <f t="shared" si="105"/>
        <v/>
      </c>
    </row>
    <row r="6725" spans="1:1">
      <c r="A6725" t="str">
        <f t="shared" si="105"/>
        <v/>
      </c>
    </row>
    <row r="6726" spans="1:1">
      <c r="A6726" t="str">
        <f t="shared" si="105"/>
        <v/>
      </c>
    </row>
    <row r="6727" spans="1:1">
      <c r="A6727" t="str">
        <f t="shared" si="105"/>
        <v/>
      </c>
    </row>
    <row r="6728" spans="1:1">
      <c r="A6728" t="str">
        <f t="shared" si="105"/>
        <v/>
      </c>
    </row>
    <row r="6729" spans="1:1">
      <c r="A6729" t="str">
        <f t="shared" si="105"/>
        <v/>
      </c>
    </row>
    <row r="6730" spans="1:1">
      <c r="A6730" t="str">
        <f t="shared" si="105"/>
        <v/>
      </c>
    </row>
    <row r="6731" spans="1:1">
      <c r="A6731" t="str">
        <f t="shared" si="105"/>
        <v/>
      </c>
    </row>
    <row r="6732" spans="1:1">
      <c r="A6732" t="str">
        <f t="shared" si="105"/>
        <v/>
      </c>
    </row>
    <row r="6733" spans="1:1">
      <c r="A6733" t="str">
        <f t="shared" si="105"/>
        <v/>
      </c>
    </row>
    <row r="6734" spans="1:1">
      <c r="A6734" t="str">
        <f t="shared" si="105"/>
        <v/>
      </c>
    </row>
    <row r="6735" spans="1:1">
      <c r="A6735" t="str">
        <f t="shared" si="105"/>
        <v/>
      </c>
    </row>
    <row r="6736" spans="1:1">
      <c r="A6736" t="str">
        <f t="shared" si="105"/>
        <v/>
      </c>
    </row>
    <row r="6737" spans="1:1">
      <c r="A6737" t="str">
        <f t="shared" si="105"/>
        <v/>
      </c>
    </row>
    <row r="6738" spans="1:1">
      <c r="A6738" t="str">
        <f t="shared" si="105"/>
        <v/>
      </c>
    </row>
    <row r="6739" spans="1:1">
      <c r="A6739" t="str">
        <f t="shared" si="105"/>
        <v/>
      </c>
    </row>
    <row r="6740" spans="1:1">
      <c r="A6740" t="str">
        <f t="shared" si="105"/>
        <v/>
      </c>
    </row>
    <row r="6741" spans="1:1">
      <c r="A6741" t="str">
        <f t="shared" si="105"/>
        <v/>
      </c>
    </row>
    <row r="6742" spans="1:1">
      <c r="A6742" t="str">
        <f t="shared" si="105"/>
        <v/>
      </c>
    </row>
    <row r="6743" spans="1:1">
      <c r="A6743" t="str">
        <f t="shared" si="105"/>
        <v/>
      </c>
    </row>
    <row r="6744" spans="1:1">
      <c r="A6744" t="str">
        <f t="shared" si="105"/>
        <v/>
      </c>
    </row>
    <row r="6745" spans="1:1">
      <c r="A6745" t="str">
        <f t="shared" si="105"/>
        <v/>
      </c>
    </row>
    <row r="6746" spans="1:1">
      <c r="A6746" t="str">
        <f t="shared" si="105"/>
        <v/>
      </c>
    </row>
    <row r="6747" spans="1:1">
      <c r="A6747" t="str">
        <f t="shared" si="105"/>
        <v/>
      </c>
    </row>
    <row r="6748" spans="1:1">
      <c r="A6748" t="str">
        <f t="shared" si="105"/>
        <v/>
      </c>
    </row>
    <row r="6749" spans="1:1">
      <c r="A6749" t="str">
        <f t="shared" si="105"/>
        <v/>
      </c>
    </row>
    <row r="6750" spans="1:1">
      <c r="A6750" t="str">
        <f t="shared" si="105"/>
        <v/>
      </c>
    </row>
    <row r="6751" spans="1:1">
      <c r="A6751" t="str">
        <f t="shared" si="105"/>
        <v/>
      </c>
    </row>
    <row r="6752" spans="1:1">
      <c r="A6752" t="str">
        <f t="shared" si="105"/>
        <v/>
      </c>
    </row>
    <row r="6753" spans="1:1">
      <c r="A6753" t="str">
        <f t="shared" si="105"/>
        <v/>
      </c>
    </row>
    <row r="6754" spans="1:1">
      <c r="A6754" t="str">
        <f t="shared" si="105"/>
        <v/>
      </c>
    </row>
    <row r="6755" spans="1:1">
      <c r="A6755" t="str">
        <f t="shared" si="105"/>
        <v/>
      </c>
    </row>
    <row r="6756" spans="1:1">
      <c r="A6756" t="str">
        <f t="shared" si="105"/>
        <v/>
      </c>
    </row>
    <row r="6757" spans="1:1">
      <c r="A6757" t="str">
        <f t="shared" si="105"/>
        <v/>
      </c>
    </row>
    <row r="6758" spans="1:1">
      <c r="A6758" t="str">
        <f t="shared" si="105"/>
        <v/>
      </c>
    </row>
    <row r="6759" spans="1:1">
      <c r="A6759" t="str">
        <f t="shared" si="105"/>
        <v/>
      </c>
    </row>
    <row r="6760" spans="1:1">
      <c r="A6760" t="str">
        <f t="shared" si="105"/>
        <v/>
      </c>
    </row>
    <row r="6761" spans="1:1">
      <c r="A6761" t="str">
        <f t="shared" si="105"/>
        <v/>
      </c>
    </row>
    <row r="6762" spans="1:1">
      <c r="A6762" t="str">
        <f t="shared" si="105"/>
        <v/>
      </c>
    </row>
    <row r="6763" spans="1:1">
      <c r="A6763" t="str">
        <f t="shared" si="105"/>
        <v/>
      </c>
    </row>
    <row r="6764" spans="1:1">
      <c r="A6764" t="str">
        <f t="shared" si="105"/>
        <v/>
      </c>
    </row>
    <row r="6765" spans="1:1">
      <c r="A6765" t="str">
        <f t="shared" si="105"/>
        <v/>
      </c>
    </row>
    <row r="6766" spans="1:1">
      <c r="A6766" t="str">
        <f t="shared" si="105"/>
        <v/>
      </c>
    </row>
    <row r="6767" spans="1:1">
      <c r="A6767" t="str">
        <f t="shared" si="105"/>
        <v/>
      </c>
    </row>
    <row r="6768" spans="1:1">
      <c r="A6768" t="str">
        <f t="shared" si="105"/>
        <v/>
      </c>
    </row>
    <row r="6769" spans="1:1">
      <c r="A6769" t="str">
        <f t="shared" si="105"/>
        <v/>
      </c>
    </row>
    <row r="6770" spans="1:1">
      <c r="A6770" t="str">
        <f t="shared" si="105"/>
        <v/>
      </c>
    </row>
    <row r="6771" spans="1:1">
      <c r="A6771" t="str">
        <f t="shared" si="105"/>
        <v/>
      </c>
    </row>
    <row r="6772" spans="1:1">
      <c r="A6772" t="str">
        <f t="shared" si="105"/>
        <v/>
      </c>
    </row>
    <row r="6773" spans="1:1">
      <c r="A6773" t="str">
        <f t="shared" si="105"/>
        <v/>
      </c>
    </row>
    <row r="6774" spans="1:1">
      <c r="A6774" t="str">
        <f t="shared" si="105"/>
        <v/>
      </c>
    </row>
    <row r="6775" spans="1:1">
      <c r="A6775" t="str">
        <f t="shared" si="105"/>
        <v/>
      </c>
    </row>
    <row r="6776" spans="1:1">
      <c r="A6776" t="str">
        <f t="shared" si="105"/>
        <v/>
      </c>
    </row>
    <row r="6777" spans="1:1">
      <c r="A6777" t="str">
        <f t="shared" si="105"/>
        <v/>
      </c>
    </row>
    <row r="6778" spans="1:1">
      <c r="A6778" t="str">
        <f t="shared" si="105"/>
        <v/>
      </c>
    </row>
    <row r="6779" spans="1:1">
      <c r="A6779" t="str">
        <f t="shared" si="105"/>
        <v/>
      </c>
    </row>
    <row r="6780" spans="1:1">
      <c r="A6780" t="str">
        <f t="shared" si="105"/>
        <v/>
      </c>
    </row>
    <row r="6781" spans="1:1">
      <c r="A6781" t="str">
        <f t="shared" si="105"/>
        <v/>
      </c>
    </row>
    <row r="6782" spans="1:1">
      <c r="A6782" t="str">
        <f t="shared" si="105"/>
        <v/>
      </c>
    </row>
    <row r="6783" spans="1:1">
      <c r="A6783" t="str">
        <f t="shared" si="105"/>
        <v/>
      </c>
    </row>
    <row r="6784" spans="1:1">
      <c r="A6784" t="str">
        <f t="shared" ref="A6784:A6847" si="106">CONCATENATE(I6784, B6784)</f>
        <v/>
      </c>
    </row>
    <row r="6785" spans="1:1">
      <c r="A6785" t="str">
        <f t="shared" si="106"/>
        <v/>
      </c>
    </row>
    <row r="6786" spans="1:1">
      <c r="A6786" t="str">
        <f t="shared" si="106"/>
        <v/>
      </c>
    </row>
    <row r="6787" spans="1:1">
      <c r="A6787" t="str">
        <f t="shared" si="106"/>
        <v/>
      </c>
    </row>
    <row r="6788" spans="1:1">
      <c r="A6788" t="str">
        <f t="shared" si="106"/>
        <v/>
      </c>
    </row>
    <row r="6789" spans="1:1">
      <c r="A6789" t="str">
        <f t="shared" si="106"/>
        <v/>
      </c>
    </row>
    <row r="6790" spans="1:1">
      <c r="A6790" t="str">
        <f t="shared" si="106"/>
        <v/>
      </c>
    </row>
    <row r="6791" spans="1:1">
      <c r="A6791" t="str">
        <f t="shared" si="106"/>
        <v/>
      </c>
    </row>
    <row r="6792" spans="1:1">
      <c r="A6792" t="str">
        <f t="shared" si="106"/>
        <v/>
      </c>
    </row>
    <row r="6793" spans="1:1">
      <c r="A6793" t="str">
        <f t="shared" si="106"/>
        <v/>
      </c>
    </row>
    <row r="6794" spans="1:1">
      <c r="A6794" t="str">
        <f t="shared" si="106"/>
        <v/>
      </c>
    </row>
    <row r="6795" spans="1:1">
      <c r="A6795" t="str">
        <f t="shared" si="106"/>
        <v/>
      </c>
    </row>
    <row r="6796" spans="1:1">
      <c r="A6796" t="str">
        <f t="shared" si="106"/>
        <v/>
      </c>
    </row>
    <row r="6797" spans="1:1">
      <c r="A6797" t="str">
        <f t="shared" si="106"/>
        <v/>
      </c>
    </row>
    <row r="6798" spans="1:1">
      <c r="A6798" t="str">
        <f t="shared" si="106"/>
        <v/>
      </c>
    </row>
    <row r="6799" spans="1:1">
      <c r="A6799" t="str">
        <f t="shared" si="106"/>
        <v/>
      </c>
    </row>
    <row r="6800" spans="1:1">
      <c r="A6800" t="str">
        <f t="shared" si="106"/>
        <v/>
      </c>
    </row>
    <row r="6801" spans="1:1">
      <c r="A6801" t="str">
        <f t="shared" si="106"/>
        <v/>
      </c>
    </row>
    <row r="6802" spans="1:1">
      <c r="A6802" t="str">
        <f t="shared" si="106"/>
        <v/>
      </c>
    </row>
    <row r="6803" spans="1:1">
      <c r="A6803" t="str">
        <f t="shared" si="106"/>
        <v/>
      </c>
    </row>
    <row r="6804" spans="1:1">
      <c r="A6804" t="str">
        <f t="shared" si="106"/>
        <v/>
      </c>
    </row>
    <row r="6805" spans="1:1">
      <c r="A6805" t="str">
        <f t="shared" si="106"/>
        <v/>
      </c>
    </row>
    <row r="6806" spans="1:1">
      <c r="A6806" t="str">
        <f t="shared" si="106"/>
        <v/>
      </c>
    </row>
    <row r="6807" spans="1:1">
      <c r="A6807" t="str">
        <f t="shared" si="106"/>
        <v/>
      </c>
    </row>
    <row r="6808" spans="1:1">
      <c r="A6808" t="str">
        <f t="shared" si="106"/>
        <v/>
      </c>
    </row>
    <row r="6809" spans="1:1">
      <c r="A6809" t="str">
        <f t="shared" si="106"/>
        <v/>
      </c>
    </row>
    <row r="6810" spans="1:1">
      <c r="A6810" t="str">
        <f t="shared" si="106"/>
        <v/>
      </c>
    </row>
    <row r="6811" spans="1:1">
      <c r="A6811" t="str">
        <f t="shared" si="106"/>
        <v/>
      </c>
    </row>
    <row r="6812" spans="1:1">
      <c r="A6812" t="str">
        <f t="shared" si="106"/>
        <v/>
      </c>
    </row>
    <row r="6813" spans="1:1">
      <c r="A6813" t="str">
        <f t="shared" si="106"/>
        <v/>
      </c>
    </row>
    <row r="6814" spans="1:1">
      <c r="A6814" t="str">
        <f t="shared" si="106"/>
        <v/>
      </c>
    </row>
    <row r="6815" spans="1:1">
      <c r="A6815" t="str">
        <f t="shared" si="106"/>
        <v/>
      </c>
    </row>
    <row r="6816" spans="1:1">
      <c r="A6816" t="str">
        <f t="shared" si="106"/>
        <v/>
      </c>
    </row>
    <row r="6817" spans="1:1">
      <c r="A6817" t="str">
        <f t="shared" si="106"/>
        <v/>
      </c>
    </row>
    <row r="6818" spans="1:1">
      <c r="A6818" t="str">
        <f t="shared" si="106"/>
        <v/>
      </c>
    </row>
    <row r="6819" spans="1:1">
      <c r="A6819" t="str">
        <f t="shared" si="106"/>
        <v/>
      </c>
    </row>
    <row r="6820" spans="1:1">
      <c r="A6820" t="str">
        <f t="shared" si="106"/>
        <v/>
      </c>
    </row>
    <row r="6821" spans="1:1">
      <c r="A6821" t="str">
        <f t="shared" si="106"/>
        <v/>
      </c>
    </row>
    <row r="6822" spans="1:1">
      <c r="A6822" t="str">
        <f t="shared" si="106"/>
        <v/>
      </c>
    </row>
    <row r="6823" spans="1:1">
      <c r="A6823" t="str">
        <f t="shared" si="106"/>
        <v/>
      </c>
    </row>
    <row r="6824" spans="1:1">
      <c r="A6824" t="str">
        <f t="shared" si="106"/>
        <v/>
      </c>
    </row>
    <row r="6825" spans="1:1">
      <c r="A6825" t="str">
        <f t="shared" si="106"/>
        <v/>
      </c>
    </row>
    <row r="6826" spans="1:1">
      <c r="A6826" t="str">
        <f t="shared" si="106"/>
        <v/>
      </c>
    </row>
    <row r="6827" spans="1:1">
      <c r="A6827" t="str">
        <f t="shared" si="106"/>
        <v/>
      </c>
    </row>
    <row r="6828" spans="1:1">
      <c r="A6828" t="str">
        <f t="shared" si="106"/>
        <v/>
      </c>
    </row>
    <row r="6829" spans="1:1">
      <c r="A6829" t="str">
        <f t="shared" si="106"/>
        <v/>
      </c>
    </row>
    <row r="6830" spans="1:1">
      <c r="A6830" t="str">
        <f t="shared" si="106"/>
        <v/>
      </c>
    </row>
    <row r="6831" spans="1:1">
      <c r="A6831" t="str">
        <f t="shared" si="106"/>
        <v/>
      </c>
    </row>
    <row r="6832" spans="1:1">
      <c r="A6832" t="str">
        <f t="shared" si="106"/>
        <v/>
      </c>
    </row>
    <row r="6833" spans="1:1">
      <c r="A6833" t="str">
        <f t="shared" si="106"/>
        <v/>
      </c>
    </row>
    <row r="6834" spans="1:1">
      <c r="A6834" t="str">
        <f t="shared" si="106"/>
        <v/>
      </c>
    </row>
    <row r="6835" spans="1:1">
      <c r="A6835" t="str">
        <f t="shared" si="106"/>
        <v/>
      </c>
    </row>
    <row r="6836" spans="1:1">
      <c r="A6836" t="str">
        <f t="shared" si="106"/>
        <v/>
      </c>
    </row>
    <row r="6837" spans="1:1">
      <c r="A6837" t="str">
        <f t="shared" si="106"/>
        <v/>
      </c>
    </row>
    <row r="6838" spans="1:1">
      <c r="A6838" t="str">
        <f t="shared" si="106"/>
        <v/>
      </c>
    </row>
    <row r="6839" spans="1:1">
      <c r="A6839" t="str">
        <f t="shared" si="106"/>
        <v/>
      </c>
    </row>
    <row r="6840" spans="1:1">
      <c r="A6840" t="str">
        <f t="shared" si="106"/>
        <v/>
      </c>
    </row>
    <row r="6841" spans="1:1">
      <c r="A6841" t="str">
        <f t="shared" si="106"/>
        <v/>
      </c>
    </row>
    <row r="6842" spans="1:1">
      <c r="A6842" t="str">
        <f t="shared" si="106"/>
        <v/>
      </c>
    </row>
    <row r="6843" spans="1:1">
      <c r="A6843" t="str">
        <f t="shared" si="106"/>
        <v/>
      </c>
    </row>
    <row r="6844" spans="1:1">
      <c r="A6844" t="str">
        <f t="shared" si="106"/>
        <v/>
      </c>
    </row>
    <row r="6845" spans="1:1">
      <c r="A6845" t="str">
        <f t="shared" si="106"/>
        <v/>
      </c>
    </row>
    <row r="6846" spans="1:1">
      <c r="A6846" t="str">
        <f t="shared" si="106"/>
        <v/>
      </c>
    </row>
    <row r="6847" spans="1:1">
      <c r="A6847" t="str">
        <f t="shared" si="106"/>
        <v/>
      </c>
    </row>
    <row r="6848" spans="1:1">
      <c r="A6848" t="str">
        <f t="shared" ref="A6848:A6911" si="107">CONCATENATE(I6848, B6848)</f>
        <v/>
      </c>
    </row>
    <row r="6849" spans="1:1">
      <c r="A6849" t="str">
        <f t="shared" si="107"/>
        <v/>
      </c>
    </row>
    <row r="6850" spans="1:1">
      <c r="A6850" t="str">
        <f t="shared" si="107"/>
        <v/>
      </c>
    </row>
    <row r="6851" spans="1:1">
      <c r="A6851" t="str">
        <f t="shared" si="107"/>
        <v/>
      </c>
    </row>
    <row r="6852" spans="1:1">
      <c r="A6852" t="str">
        <f t="shared" si="107"/>
        <v/>
      </c>
    </row>
    <row r="6853" spans="1:1">
      <c r="A6853" t="str">
        <f t="shared" si="107"/>
        <v/>
      </c>
    </row>
    <row r="6854" spans="1:1">
      <c r="A6854" t="str">
        <f t="shared" si="107"/>
        <v/>
      </c>
    </row>
    <row r="6855" spans="1:1">
      <c r="A6855" t="str">
        <f t="shared" si="107"/>
        <v/>
      </c>
    </row>
    <row r="6856" spans="1:1">
      <c r="A6856" t="str">
        <f t="shared" si="107"/>
        <v/>
      </c>
    </row>
    <row r="6857" spans="1:1">
      <c r="A6857" t="str">
        <f t="shared" si="107"/>
        <v/>
      </c>
    </row>
    <row r="6858" spans="1:1">
      <c r="A6858" t="str">
        <f t="shared" si="107"/>
        <v/>
      </c>
    </row>
    <row r="6859" spans="1:1">
      <c r="A6859" t="str">
        <f t="shared" si="107"/>
        <v/>
      </c>
    </row>
    <row r="6860" spans="1:1">
      <c r="A6860" t="str">
        <f t="shared" si="107"/>
        <v/>
      </c>
    </row>
    <row r="6861" spans="1:1">
      <c r="A6861" t="str">
        <f t="shared" si="107"/>
        <v/>
      </c>
    </row>
    <row r="6862" spans="1:1">
      <c r="A6862" t="str">
        <f t="shared" si="107"/>
        <v/>
      </c>
    </row>
    <row r="6863" spans="1:1">
      <c r="A6863" t="str">
        <f t="shared" si="107"/>
        <v/>
      </c>
    </row>
    <row r="6864" spans="1:1">
      <c r="A6864" t="str">
        <f t="shared" si="107"/>
        <v/>
      </c>
    </row>
    <row r="6865" spans="1:1">
      <c r="A6865" t="str">
        <f t="shared" si="107"/>
        <v/>
      </c>
    </row>
    <row r="6866" spans="1:1">
      <c r="A6866" t="str">
        <f t="shared" si="107"/>
        <v/>
      </c>
    </row>
    <row r="6867" spans="1:1">
      <c r="A6867" t="str">
        <f t="shared" si="107"/>
        <v/>
      </c>
    </row>
    <row r="6868" spans="1:1">
      <c r="A6868" t="str">
        <f t="shared" si="107"/>
        <v/>
      </c>
    </row>
    <row r="6869" spans="1:1">
      <c r="A6869" t="str">
        <f t="shared" si="107"/>
        <v/>
      </c>
    </row>
    <row r="6870" spans="1:1">
      <c r="A6870" t="str">
        <f t="shared" si="107"/>
        <v/>
      </c>
    </row>
    <row r="6871" spans="1:1">
      <c r="A6871" t="str">
        <f t="shared" si="107"/>
        <v/>
      </c>
    </row>
    <row r="6872" spans="1:1">
      <c r="A6872" t="str">
        <f t="shared" si="107"/>
        <v/>
      </c>
    </row>
    <row r="6873" spans="1:1">
      <c r="A6873" t="str">
        <f t="shared" si="107"/>
        <v/>
      </c>
    </row>
    <row r="6874" spans="1:1">
      <c r="A6874" t="str">
        <f t="shared" si="107"/>
        <v/>
      </c>
    </row>
    <row r="6875" spans="1:1">
      <c r="A6875" t="str">
        <f t="shared" si="107"/>
        <v/>
      </c>
    </row>
    <row r="6876" spans="1:1">
      <c r="A6876" t="str">
        <f t="shared" si="107"/>
        <v/>
      </c>
    </row>
    <row r="6877" spans="1:1">
      <c r="A6877" t="str">
        <f t="shared" si="107"/>
        <v/>
      </c>
    </row>
    <row r="6878" spans="1:1">
      <c r="A6878" t="str">
        <f t="shared" si="107"/>
        <v/>
      </c>
    </row>
    <row r="6879" spans="1:1">
      <c r="A6879" t="str">
        <f t="shared" si="107"/>
        <v/>
      </c>
    </row>
    <row r="6880" spans="1:1">
      <c r="A6880" t="str">
        <f t="shared" si="107"/>
        <v/>
      </c>
    </row>
    <row r="6881" spans="1:1">
      <c r="A6881" t="str">
        <f t="shared" si="107"/>
        <v/>
      </c>
    </row>
    <row r="6882" spans="1:1">
      <c r="A6882" t="str">
        <f t="shared" si="107"/>
        <v/>
      </c>
    </row>
    <row r="6883" spans="1:1">
      <c r="A6883" t="str">
        <f t="shared" si="107"/>
        <v/>
      </c>
    </row>
    <row r="6884" spans="1:1">
      <c r="A6884" t="str">
        <f t="shared" si="107"/>
        <v/>
      </c>
    </row>
    <row r="6885" spans="1:1">
      <c r="A6885" t="str">
        <f t="shared" si="107"/>
        <v/>
      </c>
    </row>
    <row r="6886" spans="1:1">
      <c r="A6886" t="str">
        <f t="shared" si="107"/>
        <v/>
      </c>
    </row>
    <row r="6887" spans="1:1">
      <c r="A6887" t="str">
        <f t="shared" si="107"/>
        <v/>
      </c>
    </row>
    <row r="6888" spans="1:1">
      <c r="A6888" t="str">
        <f t="shared" si="107"/>
        <v/>
      </c>
    </row>
    <row r="6889" spans="1:1">
      <c r="A6889" t="str">
        <f t="shared" si="107"/>
        <v/>
      </c>
    </row>
    <row r="6890" spans="1:1">
      <c r="A6890" t="str">
        <f t="shared" si="107"/>
        <v/>
      </c>
    </row>
    <row r="6891" spans="1:1">
      <c r="A6891" t="str">
        <f t="shared" si="107"/>
        <v/>
      </c>
    </row>
    <row r="6892" spans="1:1">
      <c r="A6892" t="str">
        <f t="shared" si="107"/>
        <v/>
      </c>
    </row>
    <row r="6893" spans="1:1">
      <c r="A6893" t="str">
        <f t="shared" si="107"/>
        <v/>
      </c>
    </row>
    <row r="6894" spans="1:1">
      <c r="A6894" t="str">
        <f t="shared" si="107"/>
        <v/>
      </c>
    </row>
    <row r="6895" spans="1:1">
      <c r="A6895" t="str">
        <f t="shared" si="107"/>
        <v/>
      </c>
    </row>
    <row r="6896" spans="1:1">
      <c r="A6896" t="str">
        <f t="shared" si="107"/>
        <v/>
      </c>
    </row>
    <row r="6897" spans="1:1">
      <c r="A6897" t="str">
        <f t="shared" si="107"/>
        <v/>
      </c>
    </row>
    <row r="6898" spans="1:1">
      <c r="A6898" t="str">
        <f t="shared" si="107"/>
        <v/>
      </c>
    </row>
    <row r="6899" spans="1:1">
      <c r="A6899" t="str">
        <f t="shared" si="107"/>
        <v/>
      </c>
    </row>
    <row r="6900" spans="1:1">
      <c r="A6900" t="str">
        <f t="shared" si="107"/>
        <v/>
      </c>
    </row>
    <row r="6901" spans="1:1">
      <c r="A6901" t="str">
        <f t="shared" si="107"/>
        <v/>
      </c>
    </row>
    <row r="6902" spans="1:1">
      <c r="A6902" t="str">
        <f t="shared" si="107"/>
        <v/>
      </c>
    </row>
    <row r="6903" spans="1:1">
      <c r="A6903" t="str">
        <f t="shared" si="107"/>
        <v/>
      </c>
    </row>
    <row r="6904" spans="1:1">
      <c r="A6904" t="str">
        <f t="shared" si="107"/>
        <v/>
      </c>
    </row>
    <row r="6905" spans="1:1">
      <c r="A6905" t="str">
        <f t="shared" si="107"/>
        <v/>
      </c>
    </row>
    <row r="6906" spans="1:1">
      <c r="A6906" t="str">
        <f t="shared" si="107"/>
        <v/>
      </c>
    </row>
    <row r="6907" spans="1:1">
      <c r="A6907" t="str">
        <f t="shared" si="107"/>
        <v/>
      </c>
    </row>
    <row r="6908" spans="1:1">
      <c r="A6908" t="str">
        <f t="shared" si="107"/>
        <v/>
      </c>
    </row>
    <row r="6909" spans="1:1">
      <c r="A6909" t="str">
        <f t="shared" si="107"/>
        <v/>
      </c>
    </row>
    <row r="6910" spans="1:1">
      <c r="A6910" t="str">
        <f t="shared" si="107"/>
        <v/>
      </c>
    </row>
    <row r="6911" spans="1:1">
      <c r="A6911" t="str">
        <f t="shared" si="107"/>
        <v/>
      </c>
    </row>
    <row r="6912" spans="1:1">
      <c r="A6912" t="str">
        <f t="shared" ref="A6912:A6975" si="108">CONCATENATE(I6912, B6912)</f>
        <v/>
      </c>
    </row>
    <row r="6913" spans="1:1">
      <c r="A6913" t="str">
        <f t="shared" si="108"/>
        <v/>
      </c>
    </row>
    <row r="6914" spans="1:1">
      <c r="A6914" t="str">
        <f t="shared" si="108"/>
        <v/>
      </c>
    </row>
    <row r="6915" spans="1:1">
      <c r="A6915" t="str">
        <f t="shared" si="108"/>
        <v/>
      </c>
    </row>
    <row r="6916" spans="1:1">
      <c r="A6916" t="str">
        <f t="shared" si="108"/>
        <v/>
      </c>
    </row>
    <row r="6917" spans="1:1">
      <c r="A6917" t="str">
        <f t="shared" si="108"/>
        <v/>
      </c>
    </row>
    <row r="6918" spans="1:1">
      <c r="A6918" t="str">
        <f t="shared" si="108"/>
        <v/>
      </c>
    </row>
    <row r="6919" spans="1:1">
      <c r="A6919" t="str">
        <f t="shared" si="108"/>
        <v/>
      </c>
    </row>
    <row r="6920" spans="1:1">
      <c r="A6920" t="str">
        <f t="shared" si="108"/>
        <v/>
      </c>
    </row>
    <row r="6921" spans="1:1">
      <c r="A6921" t="str">
        <f t="shared" si="108"/>
        <v/>
      </c>
    </row>
    <row r="6922" spans="1:1">
      <c r="A6922" t="str">
        <f t="shared" si="108"/>
        <v/>
      </c>
    </row>
    <row r="6923" spans="1:1">
      <c r="A6923" t="str">
        <f t="shared" si="108"/>
        <v/>
      </c>
    </row>
    <row r="6924" spans="1:1">
      <c r="A6924" t="str">
        <f t="shared" si="108"/>
        <v/>
      </c>
    </row>
    <row r="6925" spans="1:1">
      <c r="A6925" t="str">
        <f t="shared" si="108"/>
        <v/>
      </c>
    </row>
    <row r="6926" spans="1:1">
      <c r="A6926" t="str">
        <f t="shared" si="108"/>
        <v/>
      </c>
    </row>
    <row r="6927" spans="1:1">
      <c r="A6927" t="str">
        <f t="shared" si="108"/>
        <v/>
      </c>
    </row>
    <row r="6928" spans="1:1">
      <c r="A6928" t="str">
        <f t="shared" si="108"/>
        <v/>
      </c>
    </row>
    <row r="6929" spans="1:1">
      <c r="A6929" t="str">
        <f t="shared" si="108"/>
        <v/>
      </c>
    </row>
    <row r="6930" spans="1:1">
      <c r="A6930" t="str">
        <f t="shared" si="108"/>
        <v/>
      </c>
    </row>
    <row r="6931" spans="1:1">
      <c r="A6931" t="str">
        <f t="shared" si="108"/>
        <v/>
      </c>
    </row>
    <row r="6932" spans="1:1">
      <c r="A6932" t="str">
        <f t="shared" si="108"/>
        <v/>
      </c>
    </row>
    <row r="6933" spans="1:1">
      <c r="A6933" t="str">
        <f t="shared" si="108"/>
        <v/>
      </c>
    </row>
    <row r="6934" spans="1:1">
      <c r="A6934" t="str">
        <f t="shared" si="108"/>
        <v/>
      </c>
    </row>
    <row r="6935" spans="1:1">
      <c r="A6935" t="str">
        <f t="shared" si="108"/>
        <v/>
      </c>
    </row>
    <row r="6936" spans="1:1">
      <c r="A6936" t="str">
        <f t="shared" si="108"/>
        <v/>
      </c>
    </row>
    <row r="6937" spans="1:1">
      <c r="A6937" t="str">
        <f t="shared" si="108"/>
        <v/>
      </c>
    </row>
    <row r="6938" spans="1:1">
      <c r="A6938" t="str">
        <f t="shared" si="108"/>
        <v/>
      </c>
    </row>
    <row r="6939" spans="1:1">
      <c r="A6939" t="str">
        <f t="shared" si="108"/>
        <v/>
      </c>
    </row>
    <row r="6940" spans="1:1">
      <c r="A6940" t="str">
        <f t="shared" si="108"/>
        <v/>
      </c>
    </row>
    <row r="6941" spans="1:1">
      <c r="A6941" t="str">
        <f t="shared" si="108"/>
        <v/>
      </c>
    </row>
    <row r="6942" spans="1:1">
      <c r="A6942" t="str">
        <f t="shared" si="108"/>
        <v/>
      </c>
    </row>
    <row r="6943" spans="1:1">
      <c r="A6943" t="str">
        <f t="shared" si="108"/>
        <v/>
      </c>
    </row>
    <row r="6944" spans="1:1">
      <c r="A6944" t="str">
        <f t="shared" si="108"/>
        <v/>
      </c>
    </row>
    <row r="6945" spans="1:1">
      <c r="A6945" t="str">
        <f t="shared" si="108"/>
        <v/>
      </c>
    </row>
    <row r="6946" spans="1:1">
      <c r="A6946" t="str">
        <f t="shared" si="108"/>
        <v/>
      </c>
    </row>
    <row r="6947" spans="1:1">
      <c r="A6947" t="str">
        <f t="shared" si="108"/>
        <v/>
      </c>
    </row>
    <row r="6948" spans="1:1">
      <c r="A6948" t="str">
        <f t="shared" si="108"/>
        <v/>
      </c>
    </row>
    <row r="6949" spans="1:1">
      <c r="A6949" t="str">
        <f t="shared" si="108"/>
        <v/>
      </c>
    </row>
    <row r="6950" spans="1:1">
      <c r="A6950" t="str">
        <f t="shared" si="108"/>
        <v/>
      </c>
    </row>
    <row r="6951" spans="1:1">
      <c r="A6951" t="str">
        <f t="shared" si="108"/>
        <v/>
      </c>
    </row>
    <row r="6952" spans="1:1">
      <c r="A6952" t="str">
        <f t="shared" si="108"/>
        <v/>
      </c>
    </row>
    <row r="6953" spans="1:1">
      <c r="A6953" t="str">
        <f t="shared" si="108"/>
        <v/>
      </c>
    </row>
    <row r="6954" spans="1:1">
      <c r="A6954" t="str">
        <f t="shared" si="108"/>
        <v/>
      </c>
    </row>
    <row r="6955" spans="1:1">
      <c r="A6955" t="str">
        <f t="shared" si="108"/>
        <v/>
      </c>
    </row>
    <row r="6956" spans="1:1">
      <c r="A6956" t="str">
        <f t="shared" si="108"/>
        <v/>
      </c>
    </row>
    <row r="6957" spans="1:1">
      <c r="A6957" t="str">
        <f t="shared" si="108"/>
        <v/>
      </c>
    </row>
    <row r="6958" spans="1:1">
      <c r="A6958" t="str">
        <f t="shared" si="108"/>
        <v/>
      </c>
    </row>
    <row r="6959" spans="1:1">
      <c r="A6959" t="str">
        <f t="shared" si="108"/>
        <v/>
      </c>
    </row>
    <row r="6960" spans="1:1">
      <c r="A6960" t="str">
        <f t="shared" si="108"/>
        <v/>
      </c>
    </row>
    <row r="6961" spans="1:1">
      <c r="A6961" t="str">
        <f t="shared" si="108"/>
        <v/>
      </c>
    </row>
    <row r="6962" spans="1:1">
      <c r="A6962" t="str">
        <f t="shared" si="108"/>
        <v/>
      </c>
    </row>
    <row r="6963" spans="1:1">
      <c r="A6963" t="str">
        <f t="shared" si="108"/>
        <v/>
      </c>
    </row>
    <row r="6964" spans="1:1">
      <c r="A6964" t="str">
        <f t="shared" si="108"/>
        <v/>
      </c>
    </row>
    <row r="6965" spans="1:1">
      <c r="A6965" t="str">
        <f t="shared" si="108"/>
        <v/>
      </c>
    </row>
    <row r="6966" spans="1:1">
      <c r="A6966" t="str">
        <f t="shared" si="108"/>
        <v/>
      </c>
    </row>
    <row r="6967" spans="1:1">
      <c r="A6967" t="str">
        <f t="shared" si="108"/>
        <v/>
      </c>
    </row>
    <row r="6968" spans="1:1">
      <c r="A6968" t="str">
        <f t="shared" si="108"/>
        <v/>
      </c>
    </row>
    <row r="6969" spans="1:1">
      <c r="A6969" t="str">
        <f t="shared" si="108"/>
        <v/>
      </c>
    </row>
    <row r="6970" spans="1:1">
      <c r="A6970" t="str">
        <f t="shared" si="108"/>
        <v/>
      </c>
    </row>
    <row r="6971" spans="1:1">
      <c r="A6971" t="str">
        <f t="shared" si="108"/>
        <v/>
      </c>
    </row>
    <row r="6972" spans="1:1">
      <c r="A6972" t="str">
        <f t="shared" si="108"/>
        <v/>
      </c>
    </row>
    <row r="6973" spans="1:1">
      <c r="A6973" t="str">
        <f t="shared" si="108"/>
        <v/>
      </c>
    </row>
    <row r="6974" spans="1:1">
      <c r="A6974" t="str">
        <f t="shared" si="108"/>
        <v/>
      </c>
    </row>
    <row r="6975" spans="1:1">
      <c r="A6975" t="str">
        <f t="shared" si="108"/>
        <v/>
      </c>
    </row>
    <row r="6976" spans="1:1">
      <c r="A6976" t="str">
        <f t="shared" ref="A6976:A7039" si="109">CONCATENATE(I6976, B6976)</f>
        <v/>
      </c>
    </row>
    <row r="6977" spans="1:1">
      <c r="A6977" t="str">
        <f t="shared" si="109"/>
        <v/>
      </c>
    </row>
    <row r="6978" spans="1:1">
      <c r="A6978" t="str">
        <f t="shared" si="109"/>
        <v/>
      </c>
    </row>
    <row r="6979" spans="1:1">
      <c r="A6979" t="str">
        <f t="shared" si="109"/>
        <v/>
      </c>
    </row>
    <row r="6980" spans="1:1">
      <c r="A6980" t="str">
        <f t="shared" si="109"/>
        <v/>
      </c>
    </row>
    <row r="6981" spans="1:1">
      <c r="A6981" t="str">
        <f t="shared" si="109"/>
        <v/>
      </c>
    </row>
    <row r="6982" spans="1:1">
      <c r="A6982" t="str">
        <f t="shared" si="109"/>
        <v/>
      </c>
    </row>
    <row r="6983" spans="1:1">
      <c r="A6983" t="str">
        <f t="shared" si="109"/>
        <v/>
      </c>
    </row>
    <row r="6984" spans="1:1">
      <c r="A6984" t="str">
        <f t="shared" si="109"/>
        <v/>
      </c>
    </row>
    <row r="6985" spans="1:1">
      <c r="A6985" t="str">
        <f t="shared" si="109"/>
        <v/>
      </c>
    </row>
    <row r="6986" spans="1:1">
      <c r="A6986" t="str">
        <f t="shared" si="109"/>
        <v/>
      </c>
    </row>
    <row r="6987" spans="1:1">
      <c r="A6987" t="str">
        <f t="shared" si="109"/>
        <v/>
      </c>
    </row>
    <row r="6988" spans="1:1">
      <c r="A6988" t="str">
        <f t="shared" si="109"/>
        <v/>
      </c>
    </row>
    <row r="6989" spans="1:1">
      <c r="A6989" t="str">
        <f t="shared" si="109"/>
        <v/>
      </c>
    </row>
    <row r="6990" spans="1:1">
      <c r="A6990" t="str">
        <f t="shared" si="109"/>
        <v/>
      </c>
    </row>
    <row r="6991" spans="1:1">
      <c r="A6991" t="str">
        <f t="shared" si="109"/>
        <v/>
      </c>
    </row>
    <row r="6992" spans="1:1">
      <c r="A6992" t="str">
        <f t="shared" si="109"/>
        <v/>
      </c>
    </row>
    <row r="6993" spans="1:1">
      <c r="A6993" t="str">
        <f t="shared" si="109"/>
        <v/>
      </c>
    </row>
    <row r="6994" spans="1:1">
      <c r="A6994" t="str">
        <f t="shared" si="109"/>
        <v/>
      </c>
    </row>
    <row r="6995" spans="1:1">
      <c r="A6995" t="str">
        <f t="shared" si="109"/>
        <v/>
      </c>
    </row>
    <row r="6996" spans="1:1">
      <c r="A6996" t="str">
        <f t="shared" si="109"/>
        <v/>
      </c>
    </row>
    <row r="6997" spans="1:1">
      <c r="A6997" t="str">
        <f t="shared" si="109"/>
        <v/>
      </c>
    </row>
    <row r="6998" spans="1:1">
      <c r="A6998" t="str">
        <f t="shared" si="109"/>
        <v/>
      </c>
    </row>
    <row r="6999" spans="1:1">
      <c r="A6999" t="str">
        <f t="shared" si="109"/>
        <v/>
      </c>
    </row>
    <row r="7000" spans="1:1">
      <c r="A7000" t="str">
        <f t="shared" si="109"/>
        <v/>
      </c>
    </row>
    <row r="7001" spans="1:1">
      <c r="A7001" t="str">
        <f t="shared" si="109"/>
        <v/>
      </c>
    </row>
    <row r="7002" spans="1:1">
      <c r="A7002" t="str">
        <f t="shared" si="109"/>
        <v/>
      </c>
    </row>
    <row r="7003" spans="1:1">
      <c r="A7003" t="str">
        <f t="shared" si="109"/>
        <v/>
      </c>
    </row>
    <row r="7004" spans="1:1">
      <c r="A7004" t="str">
        <f t="shared" si="109"/>
        <v/>
      </c>
    </row>
    <row r="7005" spans="1:1">
      <c r="A7005" t="str">
        <f t="shared" si="109"/>
        <v/>
      </c>
    </row>
    <row r="7006" spans="1:1">
      <c r="A7006" t="str">
        <f t="shared" si="109"/>
        <v/>
      </c>
    </row>
    <row r="7007" spans="1:1">
      <c r="A7007" t="str">
        <f t="shared" si="109"/>
        <v/>
      </c>
    </row>
    <row r="7008" spans="1:1">
      <c r="A7008" t="str">
        <f t="shared" si="109"/>
        <v/>
      </c>
    </row>
    <row r="7009" spans="1:1">
      <c r="A7009" t="str">
        <f t="shared" si="109"/>
        <v/>
      </c>
    </row>
    <row r="7010" spans="1:1">
      <c r="A7010" t="str">
        <f t="shared" si="109"/>
        <v/>
      </c>
    </row>
    <row r="7011" spans="1:1">
      <c r="A7011" t="str">
        <f t="shared" si="109"/>
        <v/>
      </c>
    </row>
    <row r="7012" spans="1:1">
      <c r="A7012" t="str">
        <f t="shared" si="109"/>
        <v/>
      </c>
    </row>
    <row r="7013" spans="1:1">
      <c r="A7013" t="str">
        <f t="shared" si="109"/>
        <v/>
      </c>
    </row>
    <row r="7014" spans="1:1">
      <c r="A7014" t="str">
        <f t="shared" si="109"/>
        <v/>
      </c>
    </row>
    <row r="7015" spans="1:1">
      <c r="A7015" t="str">
        <f t="shared" si="109"/>
        <v/>
      </c>
    </row>
    <row r="7016" spans="1:1">
      <c r="A7016" t="str">
        <f t="shared" si="109"/>
        <v/>
      </c>
    </row>
    <row r="7017" spans="1:1">
      <c r="A7017" t="str">
        <f t="shared" si="109"/>
        <v/>
      </c>
    </row>
    <row r="7018" spans="1:1">
      <c r="A7018" t="str">
        <f t="shared" si="109"/>
        <v/>
      </c>
    </row>
    <row r="7019" spans="1:1">
      <c r="A7019" t="str">
        <f t="shared" si="109"/>
        <v/>
      </c>
    </row>
    <row r="7020" spans="1:1">
      <c r="A7020" t="str">
        <f t="shared" si="109"/>
        <v/>
      </c>
    </row>
    <row r="7021" spans="1:1">
      <c r="A7021" t="str">
        <f t="shared" si="109"/>
        <v/>
      </c>
    </row>
    <row r="7022" spans="1:1">
      <c r="A7022" t="str">
        <f t="shared" si="109"/>
        <v/>
      </c>
    </row>
    <row r="7023" spans="1:1">
      <c r="A7023" t="str">
        <f t="shared" si="109"/>
        <v/>
      </c>
    </row>
    <row r="7024" spans="1:1">
      <c r="A7024" t="str">
        <f t="shared" si="109"/>
        <v/>
      </c>
    </row>
    <row r="7025" spans="1:1">
      <c r="A7025" t="str">
        <f t="shared" si="109"/>
        <v/>
      </c>
    </row>
    <row r="7026" spans="1:1">
      <c r="A7026" t="str">
        <f t="shared" si="109"/>
        <v/>
      </c>
    </row>
    <row r="7027" spans="1:1">
      <c r="A7027" t="str">
        <f t="shared" si="109"/>
        <v/>
      </c>
    </row>
    <row r="7028" spans="1:1">
      <c r="A7028" t="str">
        <f t="shared" si="109"/>
        <v/>
      </c>
    </row>
    <row r="7029" spans="1:1">
      <c r="A7029" t="str">
        <f t="shared" si="109"/>
        <v/>
      </c>
    </row>
    <row r="7030" spans="1:1">
      <c r="A7030" t="str">
        <f t="shared" si="109"/>
        <v/>
      </c>
    </row>
    <row r="7031" spans="1:1">
      <c r="A7031" t="str">
        <f t="shared" si="109"/>
        <v/>
      </c>
    </row>
    <row r="7032" spans="1:1">
      <c r="A7032" t="str">
        <f t="shared" si="109"/>
        <v/>
      </c>
    </row>
    <row r="7033" spans="1:1">
      <c r="A7033" t="str">
        <f t="shared" si="109"/>
        <v/>
      </c>
    </row>
    <row r="7034" spans="1:1">
      <c r="A7034" t="str">
        <f t="shared" si="109"/>
        <v/>
      </c>
    </row>
    <row r="7035" spans="1:1">
      <c r="A7035" t="str">
        <f t="shared" si="109"/>
        <v/>
      </c>
    </row>
    <row r="7036" spans="1:1">
      <c r="A7036" t="str">
        <f t="shared" si="109"/>
        <v/>
      </c>
    </row>
    <row r="7037" spans="1:1">
      <c r="A7037" t="str">
        <f t="shared" si="109"/>
        <v/>
      </c>
    </row>
    <row r="7038" spans="1:1">
      <c r="A7038" t="str">
        <f t="shared" si="109"/>
        <v/>
      </c>
    </row>
    <row r="7039" spans="1:1">
      <c r="A7039" t="str">
        <f t="shared" si="109"/>
        <v/>
      </c>
    </row>
    <row r="7040" spans="1:1">
      <c r="A7040" t="str">
        <f t="shared" ref="A7040:A7103" si="110">CONCATENATE(I7040, B7040)</f>
        <v/>
      </c>
    </row>
    <row r="7041" spans="1:1">
      <c r="A7041" t="str">
        <f t="shared" si="110"/>
        <v/>
      </c>
    </row>
    <row r="7042" spans="1:1">
      <c r="A7042" t="str">
        <f t="shared" si="110"/>
        <v/>
      </c>
    </row>
    <row r="7043" spans="1:1">
      <c r="A7043" t="str">
        <f t="shared" si="110"/>
        <v/>
      </c>
    </row>
    <row r="7044" spans="1:1">
      <c r="A7044" t="str">
        <f t="shared" si="110"/>
        <v/>
      </c>
    </row>
    <row r="7045" spans="1:1">
      <c r="A7045" t="str">
        <f t="shared" si="110"/>
        <v/>
      </c>
    </row>
    <row r="7046" spans="1:1">
      <c r="A7046" t="str">
        <f t="shared" si="110"/>
        <v/>
      </c>
    </row>
    <row r="7047" spans="1:1">
      <c r="A7047" t="str">
        <f t="shared" si="110"/>
        <v/>
      </c>
    </row>
    <row r="7048" spans="1:1">
      <c r="A7048" t="str">
        <f t="shared" si="110"/>
        <v/>
      </c>
    </row>
    <row r="7049" spans="1:1">
      <c r="A7049" t="str">
        <f t="shared" si="110"/>
        <v/>
      </c>
    </row>
    <row r="7050" spans="1:1">
      <c r="A7050" t="str">
        <f t="shared" si="110"/>
        <v/>
      </c>
    </row>
    <row r="7051" spans="1:1">
      <c r="A7051" t="str">
        <f t="shared" si="110"/>
        <v/>
      </c>
    </row>
    <row r="7052" spans="1:1">
      <c r="A7052" t="str">
        <f t="shared" si="110"/>
        <v/>
      </c>
    </row>
    <row r="7053" spans="1:1">
      <c r="A7053" t="str">
        <f t="shared" si="110"/>
        <v/>
      </c>
    </row>
    <row r="7054" spans="1:1">
      <c r="A7054" t="str">
        <f t="shared" si="110"/>
        <v/>
      </c>
    </row>
    <row r="7055" spans="1:1">
      <c r="A7055" t="str">
        <f t="shared" si="110"/>
        <v/>
      </c>
    </row>
    <row r="7056" spans="1:1">
      <c r="A7056" t="str">
        <f t="shared" si="110"/>
        <v/>
      </c>
    </row>
    <row r="7057" spans="1:1">
      <c r="A7057" t="str">
        <f t="shared" si="110"/>
        <v/>
      </c>
    </row>
    <row r="7058" spans="1:1">
      <c r="A7058" t="str">
        <f t="shared" si="110"/>
        <v/>
      </c>
    </row>
    <row r="7059" spans="1:1">
      <c r="A7059" t="str">
        <f t="shared" si="110"/>
        <v/>
      </c>
    </row>
    <row r="7060" spans="1:1">
      <c r="A7060" t="str">
        <f t="shared" si="110"/>
        <v/>
      </c>
    </row>
    <row r="7061" spans="1:1">
      <c r="A7061" t="str">
        <f t="shared" si="110"/>
        <v/>
      </c>
    </row>
    <row r="7062" spans="1:1">
      <c r="A7062" t="str">
        <f t="shared" si="110"/>
        <v/>
      </c>
    </row>
    <row r="7063" spans="1:1">
      <c r="A7063" t="str">
        <f t="shared" si="110"/>
        <v/>
      </c>
    </row>
    <row r="7064" spans="1:1">
      <c r="A7064" t="str">
        <f t="shared" si="110"/>
        <v/>
      </c>
    </row>
    <row r="7065" spans="1:1">
      <c r="A7065" t="str">
        <f t="shared" si="110"/>
        <v/>
      </c>
    </row>
    <row r="7066" spans="1:1">
      <c r="A7066" t="str">
        <f t="shared" si="110"/>
        <v/>
      </c>
    </row>
    <row r="7067" spans="1:1">
      <c r="A7067" t="str">
        <f t="shared" si="110"/>
        <v/>
      </c>
    </row>
    <row r="7068" spans="1:1">
      <c r="A7068" t="str">
        <f t="shared" si="110"/>
        <v/>
      </c>
    </row>
    <row r="7069" spans="1:1">
      <c r="A7069" t="str">
        <f t="shared" si="110"/>
        <v/>
      </c>
    </row>
    <row r="7070" spans="1:1">
      <c r="A7070" t="str">
        <f t="shared" si="110"/>
        <v/>
      </c>
    </row>
    <row r="7071" spans="1:1">
      <c r="A7071" t="str">
        <f t="shared" si="110"/>
        <v/>
      </c>
    </row>
    <row r="7072" spans="1:1">
      <c r="A7072" t="str">
        <f t="shared" si="110"/>
        <v/>
      </c>
    </row>
    <row r="7073" spans="1:1">
      <c r="A7073" t="str">
        <f t="shared" si="110"/>
        <v/>
      </c>
    </row>
    <row r="7074" spans="1:1">
      <c r="A7074" t="str">
        <f t="shared" si="110"/>
        <v/>
      </c>
    </row>
    <row r="7075" spans="1:1">
      <c r="A7075" t="str">
        <f t="shared" si="110"/>
        <v/>
      </c>
    </row>
    <row r="7076" spans="1:1">
      <c r="A7076" t="str">
        <f t="shared" si="110"/>
        <v/>
      </c>
    </row>
    <row r="7077" spans="1:1">
      <c r="A7077" t="str">
        <f t="shared" si="110"/>
        <v/>
      </c>
    </row>
    <row r="7078" spans="1:1">
      <c r="A7078" t="str">
        <f t="shared" si="110"/>
        <v/>
      </c>
    </row>
    <row r="7079" spans="1:1">
      <c r="A7079" t="str">
        <f t="shared" si="110"/>
        <v/>
      </c>
    </row>
    <row r="7080" spans="1:1">
      <c r="A7080" t="str">
        <f t="shared" si="110"/>
        <v/>
      </c>
    </row>
    <row r="7081" spans="1:1">
      <c r="A7081" t="str">
        <f t="shared" si="110"/>
        <v/>
      </c>
    </row>
    <row r="7082" spans="1:1">
      <c r="A7082" t="str">
        <f t="shared" si="110"/>
        <v/>
      </c>
    </row>
    <row r="7083" spans="1:1">
      <c r="A7083" t="str">
        <f t="shared" si="110"/>
        <v/>
      </c>
    </row>
    <row r="7084" spans="1:1">
      <c r="A7084" t="str">
        <f t="shared" si="110"/>
        <v/>
      </c>
    </row>
    <row r="7085" spans="1:1">
      <c r="A7085" t="str">
        <f t="shared" si="110"/>
        <v/>
      </c>
    </row>
    <row r="7086" spans="1:1">
      <c r="A7086" t="str">
        <f t="shared" si="110"/>
        <v/>
      </c>
    </row>
    <row r="7087" spans="1:1">
      <c r="A7087" t="str">
        <f t="shared" si="110"/>
        <v/>
      </c>
    </row>
    <row r="7088" spans="1:1">
      <c r="A7088" t="str">
        <f t="shared" si="110"/>
        <v/>
      </c>
    </row>
    <row r="7089" spans="1:1">
      <c r="A7089" t="str">
        <f t="shared" si="110"/>
        <v/>
      </c>
    </row>
    <row r="7090" spans="1:1">
      <c r="A7090" t="str">
        <f t="shared" si="110"/>
        <v/>
      </c>
    </row>
    <row r="7091" spans="1:1">
      <c r="A7091" t="str">
        <f t="shared" si="110"/>
        <v/>
      </c>
    </row>
    <row r="7092" spans="1:1">
      <c r="A7092" t="str">
        <f t="shared" si="110"/>
        <v/>
      </c>
    </row>
    <row r="7093" spans="1:1">
      <c r="A7093" t="str">
        <f t="shared" si="110"/>
        <v/>
      </c>
    </row>
    <row r="7094" spans="1:1">
      <c r="A7094" t="str">
        <f t="shared" si="110"/>
        <v/>
      </c>
    </row>
    <row r="7095" spans="1:1">
      <c r="A7095" t="str">
        <f t="shared" si="110"/>
        <v/>
      </c>
    </row>
    <row r="7096" spans="1:1">
      <c r="A7096" t="str">
        <f t="shared" si="110"/>
        <v/>
      </c>
    </row>
    <row r="7097" spans="1:1">
      <c r="A7097" t="str">
        <f t="shared" si="110"/>
        <v/>
      </c>
    </row>
    <row r="7098" spans="1:1">
      <c r="A7098" t="str">
        <f t="shared" si="110"/>
        <v/>
      </c>
    </row>
    <row r="7099" spans="1:1">
      <c r="A7099" t="str">
        <f t="shared" si="110"/>
        <v/>
      </c>
    </row>
    <row r="7100" spans="1:1">
      <c r="A7100" t="str">
        <f t="shared" si="110"/>
        <v/>
      </c>
    </row>
    <row r="7101" spans="1:1">
      <c r="A7101" t="str">
        <f t="shared" si="110"/>
        <v/>
      </c>
    </row>
    <row r="7102" spans="1:1">
      <c r="A7102" t="str">
        <f t="shared" si="110"/>
        <v/>
      </c>
    </row>
    <row r="7103" spans="1:1">
      <c r="A7103" t="str">
        <f t="shared" si="110"/>
        <v/>
      </c>
    </row>
    <row r="7104" spans="1:1">
      <c r="A7104" t="str">
        <f t="shared" ref="A7104:A7167" si="111">CONCATENATE(I7104, B7104)</f>
        <v/>
      </c>
    </row>
    <row r="7105" spans="1:1">
      <c r="A7105" t="str">
        <f t="shared" si="111"/>
        <v/>
      </c>
    </row>
    <row r="7106" spans="1:1">
      <c r="A7106" t="str">
        <f t="shared" si="111"/>
        <v/>
      </c>
    </row>
    <row r="7107" spans="1:1">
      <c r="A7107" t="str">
        <f t="shared" si="111"/>
        <v/>
      </c>
    </row>
    <row r="7108" spans="1:1">
      <c r="A7108" t="str">
        <f t="shared" si="111"/>
        <v/>
      </c>
    </row>
    <row r="7109" spans="1:1">
      <c r="A7109" t="str">
        <f t="shared" si="111"/>
        <v/>
      </c>
    </row>
    <row r="7110" spans="1:1">
      <c r="A7110" t="str">
        <f t="shared" si="111"/>
        <v/>
      </c>
    </row>
    <row r="7111" spans="1:1">
      <c r="A7111" t="str">
        <f t="shared" si="111"/>
        <v/>
      </c>
    </row>
    <row r="7112" spans="1:1">
      <c r="A7112" t="str">
        <f t="shared" si="111"/>
        <v/>
      </c>
    </row>
    <row r="7113" spans="1:1">
      <c r="A7113" t="str">
        <f t="shared" si="111"/>
        <v/>
      </c>
    </row>
    <row r="7114" spans="1:1">
      <c r="A7114" t="str">
        <f t="shared" si="111"/>
        <v/>
      </c>
    </row>
    <row r="7115" spans="1:1">
      <c r="A7115" t="str">
        <f t="shared" si="111"/>
        <v/>
      </c>
    </row>
    <row r="7116" spans="1:1">
      <c r="A7116" t="str">
        <f t="shared" si="111"/>
        <v/>
      </c>
    </row>
    <row r="7117" spans="1:1">
      <c r="A7117" t="str">
        <f t="shared" si="111"/>
        <v/>
      </c>
    </row>
    <row r="7118" spans="1:1">
      <c r="A7118" t="str">
        <f t="shared" si="111"/>
        <v/>
      </c>
    </row>
    <row r="7119" spans="1:1">
      <c r="A7119" t="str">
        <f t="shared" si="111"/>
        <v/>
      </c>
    </row>
    <row r="7120" spans="1:1">
      <c r="A7120" t="str">
        <f t="shared" si="111"/>
        <v/>
      </c>
    </row>
    <row r="7121" spans="1:1">
      <c r="A7121" t="str">
        <f t="shared" si="111"/>
        <v/>
      </c>
    </row>
    <row r="7122" spans="1:1">
      <c r="A7122" t="str">
        <f t="shared" si="111"/>
        <v/>
      </c>
    </row>
    <row r="7123" spans="1:1">
      <c r="A7123" t="str">
        <f t="shared" si="111"/>
        <v/>
      </c>
    </row>
    <row r="7124" spans="1:1">
      <c r="A7124" t="str">
        <f t="shared" si="111"/>
        <v/>
      </c>
    </row>
    <row r="7125" spans="1:1">
      <c r="A7125" t="str">
        <f t="shared" si="111"/>
        <v/>
      </c>
    </row>
    <row r="7126" spans="1:1">
      <c r="A7126" t="str">
        <f t="shared" si="111"/>
        <v/>
      </c>
    </row>
    <row r="7127" spans="1:1">
      <c r="A7127" t="str">
        <f t="shared" si="111"/>
        <v/>
      </c>
    </row>
    <row r="7128" spans="1:1">
      <c r="A7128" t="str">
        <f t="shared" si="111"/>
        <v/>
      </c>
    </row>
    <row r="7129" spans="1:1">
      <c r="A7129" t="str">
        <f t="shared" si="111"/>
        <v/>
      </c>
    </row>
    <row r="7130" spans="1:1">
      <c r="A7130" t="str">
        <f t="shared" si="111"/>
        <v/>
      </c>
    </row>
    <row r="7131" spans="1:1">
      <c r="A7131" t="str">
        <f t="shared" si="111"/>
        <v/>
      </c>
    </row>
    <row r="7132" spans="1:1">
      <c r="A7132" t="str">
        <f t="shared" si="111"/>
        <v/>
      </c>
    </row>
    <row r="7133" spans="1:1">
      <c r="A7133" t="str">
        <f t="shared" si="111"/>
        <v/>
      </c>
    </row>
    <row r="7134" spans="1:1">
      <c r="A7134" t="str">
        <f t="shared" si="111"/>
        <v/>
      </c>
    </row>
    <row r="7135" spans="1:1">
      <c r="A7135" t="str">
        <f t="shared" si="111"/>
        <v/>
      </c>
    </row>
    <row r="7136" spans="1:1">
      <c r="A7136" t="str">
        <f t="shared" si="111"/>
        <v/>
      </c>
    </row>
    <row r="7137" spans="1:1">
      <c r="A7137" t="str">
        <f t="shared" si="111"/>
        <v/>
      </c>
    </row>
    <row r="7138" spans="1:1">
      <c r="A7138" t="str">
        <f t="shared" si="111"/>
        <v/>
      </c>
    </row>
    <row r="7139" spans="1:1">
      <c r="A7139" t="str">
        <f t="shared" si="111"/>
        <v/>
      </c>
    </row>
    <row r="7140" spans="1:1">
      <c r="A7140" t="str">
        <f t="shared" si="111"/>
        <v/>
      </c>
    </row>
    <row r="7141" spans="1:1">
      <c r="A7141" t="str">
        <f t="shared" si="111"/>
        <v/>
      </c>
    </row>
    <row r="7142" spans="1:1">
      <c r="A7142" t="str">
        <f t="shared" si="111"/>
        <v/>
      </c>
    </row>
    <row r="7143" spans="1:1">
      <c r="A7143" t="str">
        <f t="shared" si="111"/>
        <v/>
      </c>
    </row>
    <row r="7144" spans="1:1">
      <c r="A7144" t="str">
        <f t="shared" si="111"/>
        <v/>
      </c>
    </row>
    <row r="7145" spans="1:1">
      <c r="A7145" t="str">
        <f t="shared" si="111"/>
        <v/>
      </c>
    </row>
    <row r="7146" spans="1:1">
      <c r="A7146" t="str">
        <f t="shared" si="111"/>
        <v/>
      </c>
    </row>
    <row r="7147" spans="1:1">
      <c r="A7147" t="str">
        <f t="shared" si="111"/>
        <v/>
      </c>
    </row>
    <row r="7148" spans="1:1">
      <c r="A7148" t="str">
        <f t="shared" si="111"/>
        <v/>
      </c>
    </row>
    <row r="7149" spans="1:1">
      <c r="A7149" t="str">
        <f t="shared" si="111"/>
        <v/>
      </c>
    </row>
    <row r="7150" spans="1:1">
      <c r="A7150" t="str">
        <f t="shared" si="111"/>
        <v/>
      </c>
    </row>
    <row r="7151" spans="1:1">
      <c r="A7151" t="str">
        <f t="shared" si="111"/>
        <v/>
      </c>
    </row>
    <row r="7152" spans="1:1">
      <c r="A7152" t="str">
        <f t="shared" si="111"/>
        <v/>
      </c>
    </row>
    <row r="7153" spans="1:1">
      <c r="A7153" t="str">
        <f t="shared" si="111"/>
        <v/>
      </c>
    </row>
    <row r="7154" spans="1:1">
      <c r="A7154" t="str">
        <f t="shared" si="111"/>
        <v/>
      </c>
    </row>
    <row r="7155" spans="1:1">
      <c r="A7155" t="str">
        <f t="shared" si="111"/>
        <v/>
      </c>
    </row>
    <row r="7156" spans="1:1">
      <c r="A7156" t="str">
        <f t="shared" si="111"/>
        <v/>
      </c>
    </row>
    <row r="7157" spans="1:1">
      <c r="A7157" t="str">
        <f t="shared" si="111"/>
        <v/>
      </c>
    </row>
    <row r="7158" spans="1:1">
      <c r="A7158" t="str">
        <f t="shared" si="111"/>
        <v/>
      </c>
    </row>
    <row r="7159" spans="1:1">
      <c r="A7159" t="str">
        <f t="shared" si="111"/>
        <v/>
      </c>
    </row>
    <row r="7160" spans="1:1">
      <c r="A7160" t="str">
        <f t="shared" si="111"/>
        <v/>
      </c>
    </row>
    <row r="7161" spans="1:1">
      <c r="A7161" t="str">
        <f t="shared" si="111"/>
        <v/>
      </c>
    </row>
    <row r="7162" spans="1:1">
      <c r="A7162" t="str">
        <f t="shared" si="111"/>
        <v/>
      </c>
    </row>
    <row r="7163" spans="1:1">
      <c r="A7163" t="str">
        <f t="shared" si="111"/>
        <v/>
      </c>
    </row>
    <row r="7164" spans="1:1">
      <c r="A7164" t="str">
        <f t="shared" si="111"/>
        <v/>
      </c>
    </row>
    <row r="7165" spans="1:1">
      <c r="A7165" t="str">
        <f t="shared" si="111"/>
        <v/>
      </c>
    </row>
    <row r="7166" spans="1:1">
      <c r="A7166" t="str">
        <f t="shared" si="111"/>
        <v/>
      </c>
    </row>
    <row r="7167" spans="1:1">
      <c r="A7167" t="str">
        <f t="shared" si="111"/>
        <v/>
      </c>
    </row>
    <row r="7168" spans="1:1">
      <c r="A7168" t="str">
        <f t="shared" ref="A7168:A7231" si="112">CONCATENATE(I7168, B7168)</f>
        <v/>
      </c>
    </row>
    <row r="7169" spans="1:1">
      <c r="A7169" t="str">
        <f t="shared" si="112"/>
        <v/>
      </c>
    </row>
    <row r="7170" spans="1:1">
      <c r="A7170" t="str">
        <f t="shared" si="112"/>
        <v/>
      </c>
    </row>
    <row r="7171" spans="1:1">
      <c r="A7171" t="str">
        <f t="shared" si="112"/>
        <v/>
      </c>
    </row>
    <row r="7172" spans="1:1">
      <c r="A7172" t="str">
        <f t="shared" si="112"/>
        <v/>
      </c>
    </row>
    <row r="7173" spans="1:1">
      <c r="A7173" t="str">
        <f t="shared" si="112"/>
        <v/>
      </c>
    </row>
    <row r="7174" spans="1:1">
      <c r="A7174" t="str">
        <f t="shared" si="112"/>
        <v/>
      </c>
    </row>
    <row r="7175" spans="1:1">
      <c r="A7175" t="str">
        <f t="shared" si="112"/>
        <v/>
      </c>
    </row>
    <row r="7176" spans="1:1">
      <c r="A7176" t="str">
        <f t="shared" si="112"/>
        <v/>
      </c>
    </row>
    <row r="7177" spans="1:1">
      <c r="A7177" t="str">
        <f t="shared" si="112"/>
        <v/>
      </c>
    </row>
    <row r="7178" spans="1:1">
      <c r="A7178" t="str">
        <f t="shared" si="112"/>
        <v/>
      </c>
    </row>
    <row r="7179" spans="1:1">
      <c r="A7179" t="str">
        <f t="shared" si="112"/>
        <v/>
      </c>
    </row>
    <row r="7180" spans="1:1">
      <c r="A7180" t="str">
        <f t="shared" si="112"/>
        <v/>
      </c>
    </row>
    <row r="7181" spans="1:1">
      <c r="A7181" t="str">
        <f t="shared" si="112"/>
        <v/>
      </c>
    </row>
    <row r="7182" spans="1:1">
      <c r="A7182" t="str">
        <f t="shared" si="112"/>
        <v/>
      </c>
    </row>
    <row r="7183" spans="1:1">
      <c r="A7183" t="str">
        <f t="shared" si="112"/>
        <v/>
      </c>
    </row>
    <row r="7184" spans="1:1">
      <c r="A7184" t="str">
        <f t="shared" si="112"/>
        <v/>
      </c>
    </row>
    <row r="7185" spans="1:1">
      <c r="A7185" t="str">
        <f t="shared" si="112"/>
        <v/>
      </c>
    </row>
    <row r="7186" spans="1:1">
      <c r="A7186" t="str">
        <f t="shared" si="112"/>
        <v/>
      </c>
    </row>
    <row r="7187" spans="1:1">
      <c r="A7187" t="str">
        <f t="shared" si="112"/>
        <v/>
      </c>
    </row>
    <row r="7188" spans="1:1">
      <c r="A7188" t="str">
        <f t="shared" si="112"/>
        <v/>
      </c>
    </row>
    <row r="7189" spans="1:1">
      <c r="A7189" t="str">
        <f t="shared" si="112"/>
        <v/>
      </c>
    </row>
    <row r="7190" spans="1:1">
      <c r="A7190" t="str">
        <f t="shared" si="112"/>
        <v/>
      </c>
    </row>
    <row r="7191" spans="1:1">
      <c r="A7191" t="str">
        <f t="shared" si="112"/>
        <v/>
      </c>
    </row>
    <row r="7192" spans="1:1">
      <c r="A7192" t="str">
        <f t="shared" si="112"/>
        <v/>
      </c>
    </row>
    <row r="7193" spans="1:1">
      <c r="A7193" t="str">
        <f t="shared" si="112"/>
        <v/>
      </c>
    </row>
    <row r="7194" spans="1:1">
      <c r="A7194" t="str">
        <f t="shared" si="112"/>
        <v/>
      </c>
    </row>
    <row r="7195" spans="1:1">
      <c r="A7195" t="str">
        <f t="shared" si="112"/>
        <v/>
      </c>
    </row>
    <row r="7196" spans="1:1">
      <c r="A7196" t="str">
        <f t="shared" si="112"/>
        <v/>
      </c>
    </row>
    <row r="7197" spans="1:1">
      <c r="A7197" t="str">
        <f t="shared" si="112"/>
        <v/>
      </c>
    </row>
    <row r="7198" spans="1:1">
      <c r="A7198" t="str">
        <f t="shared" si="112"/>
        <v/>
      </c>
    </row>
    <row r="7199" spans="1:1">
      <c r="A7199" t="str">
        <f t="shared" si="112"/>
        <v/>
      </c>
    </row>
    <row r="7200" spans="1:1">
      <c r="A7200" t="str">
        <f t="shared" si="112"/>
        <v/>
      </c>
    </row>
    <row r="7201" spans="1:1">
      <c r="A7201" t="str">
        <f t="shared" si="112"/>
        <v/>
      </c>
    </row>
    <row r="7202" spans="1:1">
      <c r="A7202" t="str">
        <f t="shared" si="112"/>
        <v/>
      </c>
    </row>
    <row r="7203" spans="1:1">
      <c r="A7203" t="str">
        <f t="shared" si="112"/>
        <v/>
      </c>
    </row>
    <row r="7204" spans="1:1">
      <c r="A7204" t="str">
        <f t="shared" si="112"/>
        <v/>
      </c>
    </row>
    <row r="7205" spans="1:1">
      <c r="A7205" t="str">
        <f t="shared" si="112"/>
        <v/>
      </c>
    </row>
    <row r="7206" spans="1:1">
      <c r="A7206" t="str">
        <f t="shared" si="112"/>
        <v/>
      </c>
    </row>
    <row r="7207" spans="1:1">
      <c r="A7207" t="str">
        <f t="shared" si="112"/>
        <v/>
      </c>
    </row>
    <row r="7208" spans="1:1">
      <c r="A7208" t="str">
        <f t="shared" si="112"/>
        <v/>
      </c>
    </row>
    <row r="7209" spans="1:1">
      <c r="A7209" t="str">
        <f t="shared" si="112"/>
        <v/>
      </c>
    </row>
    <row r="7210" spans="1:1">
      <c r="A7210" t="str">
        <f t="shared" si="112"/>
        <v/>
      </c>
    </row>
    <row r="7211" spans="1:1">
      <c r="A7211" t="str">
        <f t="shared" si="112"/>
        <v/>
      </c>
    </row>
    <row r="7212" spans="1:1">
      <c r="A7212" t="str">
        <f t="shared" si="112"/>
        <v/>
      </c>
    </row>
    <row r="7213" spans="1:1">
      <c r="A7213" t="str">
        <f t="shared" si="112"/>
        <v/>
      </c>
    </row>
    <row r="7214" spans="1:1">
      <c r="A7214" t="str">
        <f t="shared" si="112"/>
        <v/>
      </c>
    </row>
    <row r="7215" spans="1:1">
      <c r="A7215" t="str">
        <f t="shared" si="112"/>
        <v/>
      </c>
    </row>
    <row r="7216" spans="1:1">
      <c r="A7216" t="str">
        <f t="shared" si="112"/>
        <v/>
      </c>
    </row>
    <row r="7217" spans="1:1">
      <c r="A7217" t="str">
        <f t="shared" si="112"/>
        <v/>
      </c>
    </row>
    <row r="7218" spans="1:1">
      <c r="A7218" t="str">
        <f t="shared" si="112"/>
        <v/>
      </c>
    </row>
    <row r="7219" spans="1:1">
      <c r="A7219" t="str">
        <f t="shared" si="112"/>
        <v/>
      </c>
    </row>
    <row r="7220" spans="1:1">
      <c r="A7220" t="str">
        <f t="shared" si="112"/>
        <v/>
      </c>
    </row>
    <row r="7221" spans="1:1">
      <c r="A7221" t="str">
        <f t="shared" si="112"/>
        <v/>
      </c>
    </row>
    <row r="7222" spans="1:1">
      <c r="A7222" t="str">
        <f t="shared" si="112"/>
        <v/>
      </c>
    </row>
    <row r="7223" spans="1:1">
      <c r="A7223" t="str">
        <f t="shared" si="112"/>
        <v/>
      </c>
    </row>
    <row r="7224" spans="1:1">
      <c r="A7224" t="str">
        <f t="shared" si="112"/>
        <v/>
      </c>
    </row>
    <row r="7225" spans="1:1">
      <c r="A7225" t="str">
        <f t="shared" si="112"/>
        <v/>
      </c>
    </row>
    <row r="7226" spans="1:1">
      <c r="A7226" t="str">
        <f t="shared" si="112"/>
        <v/>
      </c>
    </row>
    <row r="7227" spans="1:1">
      <c r="A7227" t="str">
        <f t="shared" si="112"/>
        <v/>
      </c>
    </row>
    <row r="7228" spans="1:1">
      <c r="A7228" t="str">
        <f t="shared" si="112"/>
        <v/>
      </c>
    </row>
    <row r="7229" spans="1:1">
      <c r="A7229" t="str">
        <f t="shared" si="112"/>
        <v/>
      </c>
    </row>
    <row r="7230" spans="1:1">
      <c r="A7230" t="str">
        <f t="shared" si="112"/>
        <v/>
      </c>
    </row>
    <row r="7231" spans="1:1">
      <c r="A7231" t="str">
        <f t="shared" si="112"/>
        <v/>
      </c>
    </row>
    <row r="7232" spans="1:1">
      <c r="A7232" t="str">
        <f t="shared" ref="A7232:A7295" si="113">CONCATENATE(I7232, B7232)</f>
        <v/>
      </c>
    </row>
    <row r="7233" spans="1:1">
      <c r="A7233" t="str">
        <f t="shared" si="113"/>
        <v/>
      </c>
    </row>
    <row r="7234" spans="1:1">
      <c r="A7234" t="str">
        <f t="shared" si="113"/>
        <v/>
      </c>
    </row>
    <row r="7235" spans="1:1">
      <c r="A7235" t="str">
        <f t="shared" si="113"/>
        <v/>
      </c>
    </row>
    <row r="7236" spans="1:1">
      <c r="A7236" t="str">
        <f t="shared" si="113"/>
        <v/>
      </c>
    </row>
    <row r="7237" spans="1:1">
      <c r="A7237" t="str">
        <f t="shared" si="113"/>
        <v/>
      </c>
    </row>
    <row r="7238" spans="1:1">
      <c r="A7238" t="str">
        <f t="shared" si="113"/>
        <v/>
      </c>
    </row>
    <row r="7239" spans="1:1">
      <c r="A7239" t="str">
        <f t="shared" si="113"/>
        <v/>
      </c>
    </row>
    <row r="7240" spans="1:1">
      <c r="A7240" t="str">
        <f t="shared" si="113"/>
        <v/>
      </c>
    </row>
    <row r="7241" spans="1:1">
      <c r="A7241" t="str">
        <f t="shared" si="113"/>
        <v/>
      </c>
    </row>
    <row r="7242" spans="1:1">
      <c r="A7242" t="str">
        <f t="shared" si="113"/>
        <v/>
      </c>
    </row>
    <row r="7243" spans="1:1">
      <c r="A7243" t="str">
        <f t="shared" si="113"/>
        <v/>
      </c>
    </row>
    <row r="7244" spans="1:1">
      <c r="A7244" t="str">
        <f t="shared" si="113"/>
        <v/>
      </c>
    </row>
    <row r="7245" spans="1:1">
      <c r="A7245" t="str">
        <f t="shared" si="113"/>
        <v/>
      </c>
    </row>
    <row r="7246" spans="1:1">
      <c r="A7246" t="str">
        <f t="shared" si="113"/>
        <v/>
      </c>
    </row>
    <row r="7247" spans="1:1">
      <c r="A7247" t="str">
        <f t="shared" si="113"/>
        <v/>
      </c>
    </row>
    <row r="7248" spans="1:1">
      <c r="A7248" t="str">
        <f t="shared" si="113"/>
        <v/>
      </c>
    </row>
    <row r="7249" spans="1:1">
      <c r="A7249" t="str">
        <f t="shared" si="113"/>
        <v/>
      </c>
    </row>
    <row r="7250" spans="1:1">
      <c r="A7250" t="str">
        <f t="shared" si="113"/>
        <v/>
      </c>
    </row>
    <row r="7251" spans="1:1">
      <c r="A7251" t="str">
        <f t="shared" si="113"/>
        <v/>
      </c>
    </row>
    <row r="7252" spans="1:1">
      <c r="A7252" t="str">
        <f t="shared" si="113"/>
        <v/>
      </c>
    </row>
    <row r="7253" spans="1:1">
      <c r="A7253" t="str">
        <f t="shared" si="113"/>
        <v/>
      </c>
    </row>
    <row r="7254" spans="1:1">
      <c r="A7254" t="str">
        <f t="shared" si="113"/>
        <v/>
      </c>
    </row>
    <row r="7255" spans="1:1">
      <c r="A7255" t="str">
        <f t="shared" si="113"/>
        <v/>
      </c>
    </row>
    <row r="7256" spans="1:1">
      <c r="A7256" t="str">
        <f t="shared" si="113"/>
        <v/>
      </c>
    </row>
    <row r="7257" spans="1:1">
      <c r="A7257" t="str">
        <f t="shared" si="113"/>
        <v/>
      </c>
    </row>
    <row r="7258" spans="1:1">
      <c r="A7258" t="str">
        <f t="shared" si="113"/>
        <v/>
      </c>
    </row>
    <row r="7259" spans="1:1">
      <c r="A7259" t="str">
        <f t="shared" si="113"/>
        <v/>
      </c>
    </row>
    <row r="7260" spans="1:1">
      <c r="A7260" t="str">
        <f t="shared" si="113"/>
        <v/>
      </c>
    </row>
    <row r="7261" spans="1:1">
      <c r="A7261" t="str">
        <f t="shared" si="113"/>
        <v/>
      </c>
    </row>
    <row r="7262" spans="1:1">
      <c r="A7262" t="str">
        <f t="shared" si="113"/>
        <v/>
      </c>
    </row>
    <row r="7263" spans="1:1">
      <c r="A7263" t="str">
        <f t="shared" si="113"/>
        <v/>
      </c>
    </row>
    <row r="7264" spans="1:1">
      <c r="A7264" t="str">
        <f t="shared" si="113"/>
        <v/>
      </c>
    </row>
    <row r="7265" spans="1:1">
      <c r="A7265" t="str">
        <f t="shared" si="113"/>
        <v/>
      </c>
    </row>
    <row r="7266" spans="1:1">
      <c r="A7266" t="str">
        <f t="shared" si="113"/>
        <v/>
      </c>
    </row>
    <row r="7267" spans="1:1">
      <c r="A7267" t="str">
        <f t="shared" si="113"/>
        <v/>
      </c>
    </row>
    <row r="7268" spans="1:1">
      <c r="A7268" t="str">
        <f t="shared" si="113"/>
        <v/>
      </c>
    </row>
    <row r="7269" spans="1:1">
      <c r="A7269" t="str">
        <f t="shared" si="113"/>
        <v/>
      </c>
    </row>
    <row r="7270" spans="1:1">
      <c r="A7270" t="str">
        <f t="shared" si="113"/>
        <v/>
      </c>
    </row>
    <row r="7271" spans="1:1">
      <c r="A7271" t="str">
        <f t="shared" si="113"/>
        <v/>
      </c>
    </row>
    <row r="7272" spans="1:1">
      <c r="A7272" t="str">
        <f t="shared" si="113"/>
        <v/>
      </c>
    </row>
    <row r="7273" spans="1:1">
      <c r="A7273" t="str">
        <f t="shared" si="113"/>
        <v/>
      </c>
    </row>
    <row r="7274" spans="1:1">
      <c r="A7274" t="str">
        <f t="shared" si="113"/>
        <v/>
      </c>
    </row>
    <row r="7275" spans="1:1">
      <c r="A7275" t="str">
        <f t="shared" si="113"/>
        <v/>
      </c>
    </row>
    <row r="7276" spans="1:1">
      <c r="A7276" t="str">
        <f t="shared" si="113"/>
        <v/>
      </c>
    </row>
    <row r="7277" spans="1:1">
      <c r="A7277" t="str">
        <f t="shared" si="113"/>
        <v/>
      </c>
    </row>
    <row r="7278" spans="1:1">
      <c r="A7278" t="str">
        <f t="shared" si="113"/>
        <v/>
      </c>
    </row>
    <row r="7279" spans="1:1">
      <c r="A7279" t="str">
        <f t="shared" si="113"/>
        <v/>
      </c>
    </row>
    <row r="7280" spans="1:1">
      <c r="A7280" t="str">
        <f t="shared" si="113"/>
        <v/>
      </c>
    </row>
    <row r="7281" spans="1:1">
      <c r="A7281" t="str">
        <f t="shared" si="113"/>
        <v/>
      </c>
    </row>
    <row r="7282" spans="1:1">
      <c r="A7282" t="str">
        <f t="shared" si="113"/>
        <v/>
      </c>
    </row>
    <row r="7283" spans="1:1">
      <c r="A7283" t="str">
        <f t="shared" si="113"/>
        <v/>
      </c>
    </row>
    <row r="7284" spans="1:1">
      <c r="A7284" t="str">
        <f t="shared" si="113"/>
        <v/>
      </c>
    </row>
    <row r="7285" spans="1:1">
      <c r="A7285" t="str">
        <f t="shared" si="113"/>
        <v/>
      </c>
    </row>
    <row r="7286" spans="1:1">
      <c r="A7286" t="str">
        <f t="shared" si="113"/>
        <v/>
      </c>
    </row>
    <row r="7287" spans="1:1">
      <c r="A7287" t="str">
        <f t="shared" si="113"/>
        <v/>
      </c>
    </row>
    <row r="7288" spans="1:1">
      <c r="A7288" t="str">
        <f t="shared" si="113"/>
        <v/>
      </c>
    </row>
    <row r="7289" spans="1:1">
      <c r="A7289" t="str">
        <f t="shared" si="113"/>
        <v/>
      </c>
    </row>
    <row r="7290" spans="1:1">
      <c r="A7290" t="str">
        <f t="shared" si="113"/>
        <v/>
      </c>
    </row>
    <row r="7291" spans="1:1">
      <c r="A7291" t="str">
        <f t="shared" si="113"/>
        <v/>
      </c>
    </row>
    <row r="7292" spans="1:1">
      <c r="A7292" t="str">
        <f t="shared" si="113"/>
        <v/>
      </c>
    </row>
    <row r="7293" spans="1:1">
      <c r="A7293" t="str">
        <f t="shared" si="113"/>
        <v/>
      </c>
    </row>
    <row r="7294" spans="1:1">
      <c r="A7294" t="str">
        <f t="shared" si="113"/>
        <v/>
      </c>
    </row>
    <row r="7295" spans="1:1">
      <c r="A7295" t="str">
        <f t="shared" si="113"/>
        <v/>
      </c>
    </row>
    <row r="7296" spans="1:1">
      <c r="A7296" t="str">
        <f t="shared" ref="A7296:A7359" si="114">CONCATENATE(I7296, B7296)</f>
        <v/>
      </c>
    </row>
    <row r="7297" spans="1:1">
      <c r="A7297" t="str">
        <f t="shared" si="114"/>
        <v/>
      </c>
    </row>
    <row r="7298" spans="1:1">
      <c r="A7298" t="str">
        <f t="shared" si="114"/>
        <v/>
      </c>
    </row>
    <row r="7299" spans="1:1">
      <c r="A7299" t="str">
        <f t="shared" si="114"/>
        <v/>
      </c>
    </row>
    <row r="7300" spans="1:1">
      <c r="A7300" t="str">
        <f t="shared" si="114"/>
        <v/>
      </c>
    </row>
    <row r="7301" spans="1:1">
      <c r="A7301" t="str">
        <f t="shared" si="114"/>
        <v/>
      </c>
    </row>
    <row r="7302" spans="1:1">
      <c r="A7302" t="str">
        <f t="shared" si="114"/>
        <v/>
      </c>
    </row>
    <row r="7303" spans="1:1">
      <c r="A7303" t="str">
        <f t="shared" si="114"/>
        <v/>
      </c>
    </row>
    <row r="7304" spans="1:1">
      <c r="A7304" t="str">
        <f t="shared" si="114"/>
        <v/>
      </c>
    </row>
    <row r="7305" spans="1:1">
      <c r="A7305" t="str">
        <f t="shared" si="114"/>
        <v/>
      </c>
    </row>
    <row r="7306" spans="1:1">
      <c r="A7306" t="str">
        <f t="shared" si="114"/>
        <v/>
      </c>
    </row>
    <row r="7307" spans="1:1">
      <c r="A7307" t="str">
        <f t="shared" si="114"/>
        <v/>
      </c>
    </row>
    <row r="7308" spans="1:1">
      <c r="A7308" t="str">
        <f t="shared" si="114"/>
        <v/>
      </c>
    </row>
    <row r="7309" spans="1:1">
      <c r="A7309" t="str">
        <f t="shared" si="114"/>
        <v/>
      </c>
    </row>
    <row r="7310" spans="1:1">
      <c r="A7310" t="str">
        <f t="shared" si="114"/>
        <v/>
      </c>
    </row>
    <row r="7311" spans="1:1">
      <c r="A7311" t="str">
        <f t="shared" si="114"/>
        <v/>
      </c>
    </row>
    <row r="7312" spans="1:1">
      <c r="A7312" t="str">
        <f t="shared" si="114"/>
        <v/>
      </c>
    </row>
    <row r="7313" spans="1:1">
      <c r="A7313" t="str">
        <f t="shared" si="114"/>
        <v/>
      </c>
    </row>
    <row r="7314" spans="1:1">
      <c r="A7314" t="str">
        <f t="shared" si="114"/>
        <v/>
      </c>
    </row>
    <row r="7315" spans="1:1">
      <c r="A7315" t="str">
        <f t="shared" si="114"/>
        <v/>
      </c>
    </row>
    <row r="7316" spans="1:1">
      <c r="A7316" t="str">
        <f t="shared" si="114"/>
        <v/>
      </c>
    </row>
    <row r="7317" spans="1:1">
      <c r="A7317" t="str">
        <f t="shared" si="114"/>
        <v/>
      </c>
    </row>
    <row r="7318" spans="1:1">
      <c r="A7318" t="str">
        <f t="shared" si="114"/>
        <v/>
      </c>
    </row>
    <row r="7319" spans="1:1">
      <c r="A7319" t="str">
        <f t="shared" si="114"/>
        <v/>
      </c>
    </row>
    <row r="7320" spans="1:1">
      <c r="A7320" t="str">
        <f t="shared" si="114"/>
        <v/>
      </c>
    </row>
    <row r="7321" spans="1:1">
      <c r="A7321" t="str">
        <f t="shared" si="114"/>
        <v/>
      </c>
    </row>
    <row r="7322" spans="1:1">
      <c r="A7322" t="str">
        <f t="shared" si="114"/>
        <v/>
      </c>
    </row>
    <row r="7323" spans="1:1">
      <c r="A7323" t="str">
        <f t="shared" si="114"/>
        <v/>
      </c>
    </row>
    <row r="7324" spans="1:1">
      <c r="A7324" t="str">
        <f t="shared" si="114"/>
        <v/>
      </c>
    </row>
    <row r="7325" spans="1:1">
      <c r="A7325" t="str">
        <f t="shared" si="114"/>
        <v/>
      </c>
    </row>
    <row r="7326" spans="1:1">
      <c r="A7326" t="str">
        <f t="shared" si="114"/>
        <v/>
      </c>
    </row>
    <row r="7327" spans="1:1">
      <c r="A7327" t="str">
        <f t="shared" si="114"/>
        <v/>
      </c>
    </row>
    <row r="7328" spans="1:1">
      <c r="A7328" t="str">
        <f t="shared" si="114"/>
        <v/>
      </c>
    </row>
    <row r="7329" spans="1:1">
      <c r="A7329" t="str">
        <f t="shared" si="114"/>
        <v/>
      </c>
    </row>
    <row r="7330" spans="1:1">
      <c r="A7330" t="str">
        <f t="shared" si="114"/>
        <v/>
      </c>
    </row>
    <row r="7331" spans="1:1">
      <c r="A7331" t="str">
        <f t="shared" si="114"/>
        <v/>
      </c>
    </row>
    <row r="7332" spans="1:1">
      <c r="A7332" t="str">
        <f t="shared" si="114"/>
        <v/>
      </c>
    </row>
    <row r="7333" spans="1:1">
      <c r="A7333" t="str">
        <f t="shared" si="114"/>
        <v/>
      </c>
    </row>
    <row r="7334" spans="1:1">
      <c r="A7334" t="str">
        <f t="shared" si="114"/>
        <v/>
      </c>
    </row>
    <row r="7335" spans="1:1">
      <c r="A7335" t="str">
        <f t="shared" si="114"/>
        <v/>
      </c>
    </row>
    <row r="7336" spans="1:1">
      <c r="A7336" t="str">
        <f t="shared" si="114"/>
        <v/>
      </c>
    </row>
    <row r="7337" spans="1:1">
      <c r="A7337" t="str">
        <f t="shared" si="114"/>
        <v/>
      </c>
    </row>
    <row r="7338" spans="1:1">
      <c r="A7338" t="str">
        <f t="shared" si="114"/>
        <v/>
      </c>
    </row>
    <row r="7339" spans="1:1">
      <c r="A7339" t="str">
        <f t="shared" si="114"/>
        <v/>
      </c>
    </row>
    <row r="7340" spans="1:1">
      <c r="A7340" t="str">
        <f t="shared" si="114"/>
        <v/>
      </c>
    </row>
    <row r="7341" spans="1:1">
      <c r="A7341" t="str">
        <f t="shared" si="114"/>
        <v/>
      </c>
    </row>
    <row r="7342" spans="1:1">
      <c r="A7342" t="str">
        <f t="shared" si="114"/>
        <v/>
      </c>
    </row>
    <row r="7343" spans="1:1">
      <c r="A7343" t="str">
        <f t="shared" si="114"/>
        <v/>
      </c>
    </row>
    <row r="7344" spans="1:1">
      <c r="A7344" t="str">
        <f t="shared" si="114"/>
        <v/>
      </c>
    </row>
    <row r="7345" spans="1:1">
      <c r="A7345" t="str">
        <f t="shared" si="114"/>
        <v/>
      </c>
    </row>
    <row r="7346" spans="1:1">
      <c r="A7346" t="str">
        <f t="shared" si="114"/>
        <v/>
      </c>
    </row>
    <row r="7347" spans="1:1">
      <c r="A7347" t="str">
        <f t="shared" si="114"/>
        <v/>
      </c>
    </row>
    <row r="7348" spans="1:1">
      <c r="A7348" t="str">
        <f t="shared" si="114"/>
        <v/>
      </c>
    </row>
    <row r="7349" spans="1:1">
      <c r="A7349" t="str">
        <f t="shared" si="114"/>
        <v/>
      </c>
    </row>
    <row r="7350" spans="1:1">
      <c r="A7350" t="str">
        <f t="shared" si="114"/>
        <v/>
      </c>
    </row>
    <row r="7351" spans="1:1">
      <c r="A7351" t="str">
        <f t="shared" si="114"/>
        <v/>
      </c>
    </row>
    <row r="7352" spans="1:1">
      <c r="A7352" t="str">
        <f t="shared" si="114"/>
        <v/>
      </c>
    </row>
    <row r="7353" spans="1:1">
      <c r="A7353" t="str">
        <f t="shared" si="114"/>
        <v/>
      </c>
    </row>
    <row r="7354" spans="1:1">
      <c r="A7354" t="str">
        <f t="shared" si="114"/>
        <v/>
      </c>
    </row>
    <row r="7355" spans="1:1">
      <c r="A7355" t="str">
        <f t="shared" si="114"/>
        <v/>
      </c>
    </row>
    <row r="7356" spans="1:1">
      <c r="A7356" t="str">
        <f t="shared" si="114"/>
        <v/>
      </c>
    </row>
    <row r="7357" spans="1:1">
      <c r="A7357" t="str">
        <f t="shared" si="114"/>
        <v/>
      </c>
    </row>
    <row r="7358" spans="1:1">
      <c r="A7358" t="str">
        <f t="shared" si="114"/>
        <v/>
      </c>
    </row>
    <row r="7359" spans="1:1">
      <c r="A7359" t="str">
        <f t="shared" si="114"/>
        <v/>
      </c>
    </row>
    <row r="7360" spans="1:1">
      <c r="A7360" t="str">
        <f t="shared" ref="A7360:A7423" si="115">CONCATENATE(I7360, B7360)</f>
        <v/>
      </c>
    </row>
    <row r="7361" spans="1:1">
      <c r="A7361" t="str">
        <f t="shared" si="115"/>
        <v/>
      </c>
    </row>
    <row r="7362" spans="1:1">
      <c r="A7362" t="str">
        <f t="shared" si="115"/>
        <v/>
      </c>
    </row>
    <row r="7363" spans="1:1">
      <c r="A7363" t="str">
        <f t="shared" si="115"/>
        <v/>
      </c>
    </row>
    <row r="7364" spans="1:1">
      <c r="A7364" t="str">
        <f t="shared" si="115"/>
        <v/>
      </c>
    </row>
    <row r="7365" spans="1:1">
      <c r="A7365" t="str">
        <f t="shared" si="115"/>
        <v/>
      </c>
    </row>
    <row r="7366" spans="1:1">
      <c r="A7366" t="str">
        <f t="shared" si="115"/>
        <v/>
      </c>
    </row>
    <row r="7367" spans="1:1">
      <c r="A7367" t="str">
        <f t="shared" si="115"/>
        <v/>
      </c>
    </row>
    <row r="7368" spans="1:1">
      <c r="A7368" t="str">
        <f t="shared" si="115"/>
        <v/>
      </c>
    </row>
    <row r="7369" spans="1:1">
      <c r="A7369" t="str">
        <f t="shared" si="115"/>
        <v/>
      </c>
    </row>
    <row r="7370" spans="1:1">
      <c r="A7370" t="str">
        <f t="shared" si="115"/>
        <v/>
      </c>
    </row>
    <row r="7371" spans="1:1">
      <c r="A7371" t="str">
        <f t="shared" si="115"/>
        <v/>
      </c>
    </row>
    <row r="7372" spans="1:1">
      <c r="A7372" t="str">
        <f t="shared" si="115"/>
        <v/>
      </c>
    </row>
    <row r="7373" spans="1:1">
      <c r="A7373" t="str">
        <f t="shared" si="115"/>
        <v/>
      </c>
    </row>
    <row r="7374" spans="1:1">
      <c r="A7374" t="str">
        <f t="shared" si="115"/>
        <v/>
      </c>
    </row>
    <row r="7375" spans="1:1">
      <c r="A7375" t="str">
        <f t="shared" si="115"/>
        <v/>
      </c>
    </row>
    <row r="7376" spans="1:1">
      <c r="A7376" t="str">
        <f t="shared" si="115"/>
        <v/>
      </c>
    </row>
    <row r="7377" spans="1:1">
      <c r="A7377" t="str">
        <f t="shared" si="115"/>
        <v/>
      </c>
    </row>
    <row r="7378" spans="1:1">
      <c r="A7378" t="str">
        <f t="shared" si="115"/>
        <v/>
      </c>
    </row>
    <row r="7379" spans="1:1">
      <c r="A7379" t="str">
        <f t="shared" si="115"/>
        <v/>
      </c>
    </row>
    <row r="7380" spans="1:1">
      <c r="A7380" t="str">
        <f t="shared" si="115"/>
        <v/>
      </c>
    </row>
    <row r="7381" spans="1:1">
      <c r="A7381" t="str">
        <f t="shared" si="115"/>
        <v/>
      </c>
    </row>
    <row r="7382" spans="1:1">
      <c r="A7382" t="str">
        <f t="shared" si="115"/>
        <v/>
      </c>
    </row>
    <row r="7383" spans="1:1">
      <c r="A7383" t="str">
        <f t="shared" si="115"/>
        <v/>
      </c>
    </row>
    <row r="7384" spans="1:1">
      <c r="A7384" t="str">
        <f t="shared" si="115"/>
        <v/>
      </c>
    </row>
    <row r="7385" spans="1:1">
      <c r="A7385" t="str">
        <f t="shared" si="115"/>
        <v/>
      </c>
    </row>
    <row r="7386" spans="1:1">
      <c r="A7386" t="str">
        <f t="shared" si="115"/>
        <v/>
      </c>
    </row>
    <row r="7387" spans="1:1">
      <c r="A7387" t="str">
        <f t="shared" si="115"/>
        <v/>
      </c>
    </row>
    <row r="7388" spans="1:1">
      <c r="A7388" t="str">
        <f t="shared" si="115"/>
        <v/>
      </c>
    </row>
    <row r="7389" spans="1:1">
      <c r="A7389" t="str">
        <f t="shared" si="115"/>
        <v/>
      </c>
    </row>
    <row r="7390" spans="1:1">
      <c r="A7390" t="str">
        <f t="shared" si="115"/>
        <v/>
      </c>
    </row>
    <row r="7391" spans="1:1">
      <c r="A7391" t="str">
        <f t="shared" si="115"/>
        <v/>
      </c>
    </row>
    <row r="7392" spans="1:1">
      <c r="A7392" t="str">
        <f t="shared" si="115"/>
        <v/>
      </c>
    </row>
    <row r="7393" spans="1:1">
      <c r="A7393" t="str">
        <f t="shared" si="115"/>
        <v/>
      </c>
    </row>
    <row r="7394" spans="1:1">
      <c r="A7394" t="str">
        <f t="shared" si="115"/>
        <v/>
      </c>
    </row>
    <row r="7395" spans="1:1">
      <c r="A7395" t="str">
        <f t="shared" si="115"/>
        <v/>
      </c>
    </row>
    <row r="7396" spans="1:1">
      <c r="A7396" t="str">
        <f t="shared" si="115"/>
        <v/>
      </c>
    </row>
    <row r="7397" spans="1:1">
      <c r="A7397" t="str">
        <f t="shared" si="115"/>
        <v/>
      </c>
    </row>
    <row r="7398" spans="1:1">
      <c r="A7398" t="str">
        <f t="shared" si="115"/>
        <v/>
      </c>
    </row>
    <row r="7399" spans="1:1">
      <c r="A7399" t="str">
        <f t="shared" si="115"/>
        <v/>
      </c>
    </row>
    <row r="7400" spans="1:1">
      <c r="A7400" t="str">
        <f t="shared" si="115"/>
        <v/>
      </c>
    </row>
    <row r="7401" spans="1:1">
      <c r="A7401" t="str">
        <f t="shared" si="115"/>
        <v/>
      </c>
    </row>
    <row r="7402" spans="1:1">
      <c r="A7402" t="str">
        <f t="shared" si="115"/>
        <v/>
      </c>
    </row>
    <row r="7403" spans="1:1">
      <c r="A7403" t="str">
        <f t="shared" si="115"/>
        <v/>
      </c>
    </row>
    <row r="7404" spans="1:1">
      <c r="A7404" t="str">
        <f t="shared" si="115"/>
        <v/>
      </c>
    </row>
    <row r="7405" spans="1:1">
      <c r="A7405" t="str">
        <f t="shared" si="115"/>
        <v/>
      </c>
    </row>
    <row r="7406" spans="1:1">
      <c r="A7406" t="str">
        <f t="shared" si="115"/>
        <v/>
      </c>
    </row>
    <row r="7407" spans="1:1">
      <c r="A7407" t="str">
        <f t="shared" si="115"/>
        <v/>
      </c>
    </row>
    <row r="7408" spans="1:1">
      <c r="A7408" t="str">
        <f t="shared" si="115"/>
        <v/>
      </c>
    </row>
    <row r="7409" spans="1:1">
      <c r="A7409" t="str">
        <f t="shared" si="115"/>
        <v/>
      </c>
    </row>
    <row r="7410" spans="1:1">
      <c r="A7410" t="str">
        <f t="shared" si="115"/>
        <v/>
      </c>
    </row>
    <row r="7411" spans="1:1">
      <c r="A7411" t="str">
        <f t="shared" si="115"/>
        <v/>
      </c>
    </row>
    <row r="7412" spans="1:1">
      <c r="A7412" t="str">
        <f t="shared" si="115"/>
        <v/>
      </c>
    </row>
    <row r="7413" spans="1:1">
      <c r="A7413" t="str">
        <f t="shared" si="115"/>
        <v/>
      </c>
    </row>
    <row r="7414" spans="1:1">
      <c r="A7414" t="str">
        <f t="shared" si="115"/>
        <v/>
      </c>
    </row>
    <row r="7415" spans="1:1">
      <c r="A7415" t="str">
        <f t="shared" si="115"/>
        <v/>
      </c>
    </row>
    <row r="7416" spans="1:1">
      <c r="A7416" t="str">
        <f t="shared" si="115"/>
        <v/>
      </c>
    </row>
    <row r="7417" spans="1:1">
      <c r="A7417" t="str">
        <f t="shared" si="115"/>
        <v/>
      </c>
    </row>
    <row r="7418" spans="1:1">
      <c r="A7418" t="str">
        <f t="shared" si="115"/>
        <v/>
      </c>
    </row>
    <row r="7419" spans="1:1">
      <c r="A7419" t="str">
        <f t="shared" si="115"/>
        <v/>
      </c>
    </row>
    <row r="7420" spans="1:1">
      <c r="A7420" t="str">
        <f t="shared" si="115"/>
        <v/>
      </c>
    </row>
    <row r="7421" spans="1:1">
      <c r="A7421" t="str">
        <f t="shared" si="115"/>
        <v/>
      </c>
    </row>
    <row r="7422" spans="1:1">
      <c r="A7422" t="str">
        <f t="shared" si="115"/>
        <v/>
      </c>
    </row>
    <row r="7423" spans="1:1">
      <c r="A7423" t="str">
        <f t="shared" si="115"/>
        <v/>
      </c>
    </row>
    <row r="7424" spans="1:1">
      <c r="A7424" t="str">
        <f t="shared" ref="A7424:A7487" si="116">CONCATENATE(I7424, B7424)</f>
        <v/>
      </c>
    </row>
    <row r="7425" spans="1:1">
      <c r="A7425" t="str">
        <f t="shared" si="116"/>
        <v/>
      </c>
    </row>
    <row r="7426" spans="1:1">
      <c r="A7426" t="str">
        <f t="shared" si="116"/>
        <v/>
      </c>
    </row>
    <row r="7427" spans="1:1">
      <c r="A7427" t="str">
        <f t="shared" si="116"/>
        <v/>
      </c>
    </row>
    <row r="7428" spans="1:1">
      <c r="A7428" t="str">
        <f t="shared" si="116"/>
        <v/>
      </c>
    </row>
    <row r="7429" spans="1:1">
      <c r="A7429" t="str">
        <f t="shared" si="116"/>
        <v/>
      </c>
    </row>
    <row r="7430" spans="1:1">
      <c r="A7430" t="str">
        <f t="shared" si="116"/>
        <v/>
      </c>
    </row>
    <row r="7431" spans="1:1">
      <c r="A7431" t="str">
        <f t="shared" si="116"/>
        <v/>
      </c>
    </row>
    <row r="7432" spans="1:1">
      <c r="A7432" t="str">
        <f t="shared" si="116"/>
        <v/>
      </c>
    </row>
    <row r="7433" spans="1:1">
      <c r="A7433" t="str">
        <f t="shared" si="116"/>
        <v/>
      </c>
    </row>
    <row r="7434" spans="1:1">
      <c r="A7434" t="str">
        <f t="shared" si="116"/>
        <v/>
      </c>
    </row>
    <row r="7435" spans="1:1">
      <c r="A7435" t="str">
        <f t="shared" si="116"/>
        <v/>
      </c>
    </row>
    <row r="7436" spans="1:1">
      <c r="A7436" t="str">
        <f t="shared" si="116"/>
        <v/>
      </c>
    </row>
    <row r="7437" spans="1:1">
      <c r="A7437" t="str">
        <f t="shared" si="116"/>
        <v/>
      </c>
    </row>
    <row r="7438" spans="1:1">
      <c r="A7438" t="str">
        <f t="shared" si="116"/>
        <v/>
      </c>
    </row>
    <row r="7439" spans="1:1">
      <c r="A7439" t="str">
        <f t="shared" si="116"/>
        <v/>
      </c>
    </row>
    <row r="7440" spans="1:1">
      <c r="A7440" t="str">
        <f t="shared" si="116"/>
        <v/>
      </c>
    </row>
    <row r="7441" spans="1:1">
      <c r="A7441" t="str">
        <f t="shared" si="116"/>
        <v/>
      </c>
    </row>
    <row r="7442" spans="1:1">
      <c r="A7442" t="str">
        <f t="shared" si="116"/>
        <v/>
      </c>
    </row>
    <row r="7443" spans="1:1">
      <c r="A7443" t="str">
        <f t="shared" si="116"/>
        <v/>
      </c>
    </row>
    <row r="7444" spans="1:1">
      <c r="A7444" t="str">
        <f t="shared" si="116"/>
        <v/>
      </c>
    </row>
    <row r="7445" spans="1:1">
      <c r="A7445" t="str">
        <f t="shared" si="116"/>
        <v/>
      </c>
    </row>
    <row r="7446" spans="1:1">
      <c r="A7446" t="str">
        <f t="shared" si="116"/>
        <v/>
      </c>
    </row>
    <row r="7447" spans="1:1">
      <c r="A7447" t="str">
        <f t="shared" si="116"/>
        <v/>
      </c>
    </row>
    <row r="7448" spans="1:1">
      <c r="A7448" t="str">
        <f t="shared" si="116"/>
        <v/>
      </c>
    </row>
    <row r="7449" spans="1:1">
      <c r="A7449" t="str">
        <f t="shared" si="116"/>
        <v/>
      </c>
    </row>
    <row r="7450" spans="1:1">
      <c r="A7450" t="str">
        <f t="shared" si="116"/>
        <v/>
      </c>
    </row>
    <row r="7451" spans="1:1">
      <c r="A7451" t="str">
        <f t="shared" si="116"/>
        <v/>
      </c>
    </row>
    <row r="7452" spans="1:1">
      <c r="A7452" t="str">
        <f t="shared" si="116"/>
        <v/>
      </c>
    </row>
    <row r="7453" spans="1:1">
      <c r="A7453" t="str">
        <f t="shared" si="116"/>
        <v/>
      </c>
    </row>
    <row r="7454" spans="1:1">
      <c r="A7454" t="str">
        <f t="shared" si="116"/>
        <v/>
      </c>
    </row>
    <row r="7455" spans="1:1">
      <c r="A7455" t="str">
        <f t="shared" si="116"/>
        <v/>
      </c>
    </row>
    <row r="7456" spans="1:1">
      <c r="A7456" t="str">
        <f t="shared" si="116"/>
        <v/>
      </c>
    </row>
    <row r="7457" spans="1:1">
      <c r="A7457" t="str">
        <f t="shared" si="116"/>
        <v/>
      </c>
    </row>
    <row r="7458" spans="1:1">
      <c r="A7458" t="str">
        <f t="shared" si="116"/>
        <v/>
      </c>
    </row>
    <row r="7459" spans="1:1">
      <c r="A7459" t="str">
        <f t="shared" si="116"/>
        <v/>
      </c>
    </row>
    <row r="7460" spans="1:1">
      <c r="A7460" t="str">
        <f t="shared" si="116"/>
        <v/>
      </c>
    </row>
    <row r="7461" spans="1:1">
      <c r="A7461" t="str">
        <f t="shared" si="116"/>
        <v/>
      </c>
    </row>
    <row r="7462" spans="1:1">
      <c r="A7462" t="str">
        <f t="shared" si="116"/>
        <v/>
      </c>
    </row>
    <row r="7463" spans="1:1">
      <c r="A7463" t="str">
        <f t="shared" si="116"/>
        <v/>
      </c>
    </row>
    <row r="7464" spans="1:1">
      <c r="A7464" t="str">
        <f t="shared" si="116"/>
        <v/>
      </c>
    </row>
    <row r="7465" spans="1:1">
      <c r="A7465" t="str">
        <f t="shared" si="116"/>
        <v/>
      </c>
    </row>
    <row r="7466" spans="1:1">
      <c r="A7466" t="str">
        <f t="shared" si="116"/>
        <v/>
      </c>
    </row>
    <row r="7467" spans="1:1">
      <c r="A7467" t="str">
        <f t="shared" si="116"/>
        <v/>
      </c>
    </row>
    <row r="7468" spans="1:1">
      <c r="A7468" t="str">
        <f t="shared" si="116"/>
        <v/>
      </c>
    </row>
    <row r="7469" spans="1:1">
      <c r="A7469" t="str">
        <f t="shared" si="116"/>
        <v/>
      </c>
    </row>
    <row r="7470" spans="1:1">
      <c r="A7470" t="str">
        <f t="shared" si="116"/>
        <v/>
      </c>
    </row>
    <row r="7471" spans="1:1">
      <c r="A7471" t="str">
        <f t="shared" si="116"/>
        <v/>
      </c>
    </row>
    <row r="7472" spans="1:1">
      <c r="A7472" t="str">
        <f t="shared" si="116"/>
        <v/>
      </c>
    </row>
    <row r="7473" spans="1:1">
      <c r="A7473" t="str">
        <f t="shared" si="116"/>
        <v/>
      </c>
    </row>
    <row r="7474" spans="1:1">
      <c r="A7474" t="str">
        <f t="shared" si="116"/>
        <v/>
      </c>
    </row>
    <row r="7475" spans="1:1">
      <c r="A7475" t="str">
        <f t="shared" si="116"/>
        <v/>
      </c>
    </row>
    <row r="7476" spans="1:1">
      <c r="A7476" t="str">
        <f t="shared" si="116"/>
        <v/>
      </c>
    </row>
    <row r="7477" spans="1:1">
      <c r="A7477" t="str">
        <f t="shared" si="116"/>
        <v/>
      </c>
    </row>
    <row r="7478" spans="1:1">
      <c r="A7478" t="str">
        <f t="shared" si="116"/>
        <v/>
      </c>
    </row>
    <row r="7479" spans="1:1">
      <c r="A7479" t="str">
        <f t="shared" si="116"/>
        <v/>
      </c>
    </row>
    <row r="7480" spans="1:1">
      <c r="A7480" t="str">
        <f t="shared" si="116"/>
        <v/>
      </c>
    </row>
    <row r="7481" spans="1:1">
      <c r="A7481" t="str">
        <f t="shared" si="116"/>
        <v/>
      </c>
    </row>
    <row r="7482" spans="1:1">
      <c r="A7482" t="str">
        <f t="shared" si="116"/>
        <v/>
      </c>
    </row>
    <row r="7483" spans="1:1">
      <c r="A7483" t="str">
        <f t="shared" si="116"/>
        <v/>
      </c>
    </row>
    <row r="7484" spans="1:1">
      <c r="A7484" t="str">
        <f t="shared" si="116"/>
        <v/>
      </c>
    </row>
    <row r="7485" spans="1:1">
      <c r="A7485" t="str">
        <f t="shared" si="116"/>
        <v/>
      </c>
    </row>
    <row r="7486" spans="1:1">
      <c r="A7486" t="str">
        <f t="shared" si="116"/>
        <v/>
      </c>
    </row>
    <row r="7487" spans="1:1">
      <c r="A7487" t="str">
        <f t="shared" si="116"/>
        <v/>
      </c>
    </row>
    <row r="7488" spans="1:1">
      <c r="A7488" t="str">
        <f t="shared" ref="A7488:A7551" si="117">CONCATENATE(I7488, B7488)</f>
        <v/>
      </c>
    </row>
    <row r="7489" spans="1:1">
      <c r="A7489" t="str">
        <f t="shared" si="117"/>
        <v/>
      </c>
    </row>
    <row r="7490" spans="1:1">
      <c r="A7490" t="str">
        <f t="shared" si="117"/>
        <v/>
      </c>
    </row>
    <row r="7491" spans="1:1">
      <c r="A7491" t="str">
        <f t="shared" si="117"/>
        <v/>
      </c>
    </row>
    <row r="7492" spans="1:1">
      <c r="A7492" t="str">
        <f t="shared" si="117"/>
        <v/>
      </c>
    </row>
    <row r="7493" spans="1:1">
      <c r="A7493" t="str">
        <f t="shared" si="117"/>
        <v/>
      </c>
    </row>
    <row r="7494" spans="1:1">
      <c r="A7494" t="str">
        <f t="shared" si="117"/>
        <v/>
      </c>
    </row>
    <row r="7495" spans="1:1">
      <c r="A7495" t="str">
        <f t="shared" si="117"/>
        <v/>
      </c>
    </row>
    <row r="7496" spans="1:1">
      <c r="A7496" t="str">
        <f t="shared" si="117"/>
        <v/>
      </c>
    </row>
    <row r="7497" spans="1:1">
      <c r="A7497" t="str">
        <f t="shared" si="117"/>
        <v/>
      </c>
    </row>
    <row r="7498" spans="1:1">
      <c r="A7498" t="str">
        <f t="shared" si="117"/>
        <v/>
      </c>
    </row>
    <row r="7499" spans="1:1">
      <c r="A7499" t="str">
        <f t="shared" si="117"/>
        <v/>
      </c>
    </row>
    <row r="7500" spans="1:1">
      <c r="A7500" t="str">
        <f t="shared" si="117"/>
        <v/>
      </c>
    </row>
    <row r="7501" spans="1:1">
      <c r="A7501" t="str">
        <f t="shared" si="117"/>
        <v/>
      </c>
    </row>
    <row r="7502" spans="1:1">
      <c r="A7502" t="str">
        <f t="shared" si="117"/>
        <v/>
      </c>
    </row>
    <row r="7503" spans="1:1">
      <c r="A7503" t="str">
        <f t="shared" si="117"/>
        <v/>
      </c>
    </row>
    <row r="7504" spans="1:1">
      <c r="A7504" t="str">
        <f t="shared" si="117"/>
        <v/>
      </c>
    </row>
    <row r="7505" spans="1:1">
      <c r="A7505" t="str">
        <f t="shared" si="117"/>
        <v/>
      </c>
    </row>
    <row r="7506" spans="1:1">
      <c r="A7506" t="str">
        <f t="shared" si="117"/>
        <v/>
      </c>
    </row>
    <row r="7507" spans="1:1">
      <c r="A7507" t="str">
        <f t="shared" si="117"/>
        <v/>
      </c>
    </row>
    <row r="7508" spans="1:1">
      <c r="A7508" t="str">
        <f t="shared" si="117"/>
        <v/>
      </c>
    </row>
    <row r="7509" spans="1:1">
      <c r="A7509" t="str">
        <f t="shared" si="117"/>
        <v/>
      </c>
    </row>
    <row r="7510" spans="1:1">
      <c r="A7510" t="str">
        <f t="shared" si="117"/>
        <v/>
      </c>
    </row>
    <row r="7511" spans="1:1">
      <c r="A7511" t="str">
        <f t="shared" si="117"/>
        <v/>
      </c>
    </row>
    <row r="7512" spans="1:1">
      <c r="A7512" t="str">
        <f t="shared" si="117"/>
        <v/>
      </c>
    </row>
    <row r="7513" spans="1:1">
      <c r="A7513" t="str">
        <f t="shared" si="117"/>
        <v/>
      </c>
    </row>
    <row r="7514" spans="1:1">
      <c r="A7514" t="str">
        <f t="shared" si="117"/>
        <v/>
      </c>
    </row>
    <row r="7515" spans="1:1">
      <c r="A7515" t="str">
        <f t="shared" si="117"/>
        <v/>
      </c>
    </row>
    <row r="7516" spans="1:1">
      <c r="A7516" t="str">
        <f t="shared" si="117"/>
        <v/>
      </c>
    </row>
    <row r="7517" spans="1:1">
      <c r="A7517" t="str">
        <f t="shared" si="117"/>
        <v/>
      </c>
    </row>
    <row r="7518" spans="1:1">
      <c r="A7518" t="str">
        <f t="shared" si="117"/>
        <v/>
      </c>
    </row>
    <row r="7519" spans="1:1">
      <c r="A7519" t="str">
        <f t="shared" si="117"/>
        <v/>
      </c>
    </row>
    <row r="7520" spans="1:1">
      <c r="A7520" t="str">
        <f t="shared" si="117"/>
        <v/>
      </c>
    </row>
    <row r="7521" spans="1:1">
      <c r="A7521" t="str">
        <f t="shared" si="117"/>
        <v/>
      </c>
    </row>
    <row r="7522" spans="1:1">
      <c r="A7522" t="str">
        <f t="shared" si="117"/>
        <v/>
      </c>
    </row>
    <row r="7523" spans="1:1">
      <c r="A7523" t="str">
        <f t="shared" si="117"/>
        <v/>
      </c>
    </row>
    <row r="7524" spans="1:1">
      <c r="A7524" t="str">
        <f t="shared" si="117"/>
        <v/>
      </c>
    </row>
    <row r="7525" spans="1:1">
      <c r="A7525" t="str">
        <f t="shared" si="117"/>
        <v/>
      </c>
    </row>
    <row r="7526" spans="1:1">
      <c r="A7526" t="str">
        <f t="shared" si="117"/>
        <v/>
      </c>
    </row>
    <row r="7527" spans="1:1">
      <c r="A7527" t="str">
        <f t="shared" si="117"/>
        <v/>
      </c>
    </row>
    <row r="7528" spans="1:1">
      <c r="A7528" t="str">
        <f t="shared" si="117"/>
        <v/>
      </c>
    </row>
    <row r="7529" spans="1:1">
      <c r="A7529" t="str">
        <f t="shared" si="117"/>
        <v/>
      </c>
    </row>
    <row r="7530" spans="1:1">
      <c r="A7530" t="str">
        <f t="shared" si="117"/>
        <v/>
      </c>
    </row>
    <row r="7531" spans="1:1">
      <c r="A7531" t="str">
        <f t="shared" si="117"/>
        <v/>
      </c>
    </row>
    <row r="7532" spans="1:1">
      <c r="A7532" t="str">
        <f t="shared" si="117"/>
        <v/>
      </c>
    </row>
    <row r="7533" spans="1:1">
      <c r="A7533" t="str">
        <f t="shared" si="117"/>
        <v/>
      </c>
    </row>
    <row r="7534" spans="1:1">
      <c r="A7534" t="str">
        <f t="shared" si="117"/>
        <v/>
      </c>
    </row>
    <row r="7535" spans="1:1">
      <c r="A7535" t="str">
        <f t="shared" si="117"/>
        <v/>
      </c>
    </row>
    <row r="7536" spans="1:1">
      <c r="A7536" t="str">
        <f t="shared" si="117"/>
        <v/>
      </c>
    </row>
    <row r="7537" spans="1:1">
      <c r="A7537" t="str">
        <f t="shared" si="117"/>
        <v/>
      </c>
    </row>
    <row r="7538" spans="1:1">
      <c r="A7538" t="str">
        <f t="shared" si="117"/>
        <v/>
      </c>
    </row>
    <row r="7539" spans="1:1">
      <c r="A7539" t="str">
        <f t="shared" si="117"/>
        <v/>
      </c>
    </row>
    <row r="7540" spans="1:1">
      <c r="A7540" t="str">
        <f t="shared" si="117"/>
        <v/>
      </c>
    </row>
    <row r="7541" spans="1:1">
      <c r="A7541" t="str">
        <f t="shared" si="117"/>
        <v/>
      </c>
    </row>
    <row r="7542" spans="1:1">
      <c r="A7542" t="str">
        <f t="shared" si="117"/>
        <v/>
      </c>
    </row>
    <row r="7543" spans="1:1">
      <c r="A7543" t="str">
        <f t="shared" si="117"/>
        <v/>
      </c>
    </row>
    <row r="7544" spans="1:1">
      <c r="A7544" t="str">
        <f t="shared" si="117"/>
        <v/>
      </c>
    </row>
    <row r="7545" spans="1:1">
      <c r="A7545" t="str">
        <f t="shared" si="117"/>
        <v/>
      </c>
    </row>
    <row r="7546" spans="1:1">
      <c r="A7546" t="str">
        <f t="shared" si="117"/>
        <v/>
      </c>
    </row>
    <row r="7547" spans="1:1">
      <c r="A7547" t="str">
        <f t="shared" si="117"/>
        <v/>
      </c>
    </row>
    <row r="7548" spans="1:1">
      <c r="A7548" t="str">
        <f t="shared" si="117"/>
        <v/>
      </c>
    </row>
    <row r="7549" spans="1:1">
      <c r="A7549" t="str">
        <f t="shared" si="117"/>
        <v/>
      </c>
    </row>
    <row r="7550" spans="1:1">
      <c r="A7550" t="str">
        <f t="shared" si="117"/>
        <v/>
      </c>
    </row>
    <row r="7551" spans="1:1">
      <c r="A7551" t="str">
        <f t="shared" si="117"/>
        <v/>
      </c>
    </row>
    <row r="7552" spans="1:1">
      <c r="A7552" t="str">
        <f t="shared" ref="A7552:A7615" si="118">CONCATENATE(I7552, B7552)</f>
        <v/>
      </c>
    </row>
    <row r="7553" spans="1:1">
      <c r="A7553" t="str">
        <f t="shared" si="118"/>
        <v/>
      </c>
    </row>
    <row r="7554" spans="1:1">
      <c r="A7554" t="str">
        <f t="shared" si="118"/>
        <v/>
      </c>
    </row>
    <row r="7555" spans="1:1">
      <c r="A7555" t="str">
        <f t="shared" si="118"/>
        <v/>
      </c>
    </row>
    <row r="7556" spans="1:1">
      <c r="A7556" t="str">
        <f t="shared" si="118"/>
        <v/>
      </c>
    </row>
    <row r="7557" spans="1:1">
      <c r="A7557" t="str">
        <f t="shared" si="118"/>
        <v/>
      </c>
    </row>
    <row r="7558" spans="1:1">
      <c r="A7558" t="str">
        <f t="shared" si="118"/>
        <v/>
      </c>
    </row>
    <row r="7559" spans="1:1">
      <c r="A7559" t="str">
        <f t="shared" si="118"/>
        <v/>
      </c>
    </row>
    <row r="7560" spans="1:1">
      <c r="A7560" t="str">
        <f t="shared" si="118"/>
        <v/>
      </c>
    </row>
    <row r="7561" spans="1:1">
      <c r="A7561" t="str">
        <f t="shared" si="118"/>
        <v/>
      </c>
    </row>
    <row r="7562" spans="1:1">
      <c r="A7562" t="str">
        <f t="shared" si="118"/>
        <v/>
      </c>
    </row>
    <row r="7563" spans="1:1">
      <c r="A7563" t="str">
        <f t="shared" si="118"/>
        <v/>
      </c>
    </row>
    <row r="7564" spans="1:1">
      <c r="A7564" t="str">
        <f t="shared" si="118"/>
        <v/>
      </c>
    </row>
    <row r="7565" spans="1:1">
      <c r="A7565" t="str">
        <f t="shared" si="118"/>
        <v/>
      </c>
    </row>
    <row r="7566" spans="1:1">
      <c r="A7566" t="str">
        <f t="shared" si="118"/>
        <v/>
      </c>
    </row>
    <row r="7567" spans="1:1">
      <c r="A7567" t="str">
        <f t="shared" si="118"/>
        <v/>
      </c>
    </row>
    <row r="7568" spans="1:1">
      <c r="A7568" t="str">
        <f t="shared" si="118"/>
        <v/>
      </c>
    </row>
    <row r="7569" spans="1:1">
      <c r="A7569" t="str">
        <f t="shared" si="118"/>
        <v/>
      </c>
    </row>
    <row r="7570" spans="1:1">
      <c r="A7570" t="str">
        <f t="shared" si="118"/>
        <v/>
      </c>
    </row>
    <row r="7571" spans="1:1">
      <c r="A7571" t="str">
        <f t="shared" si="118"/>
        <v/>
      </c>
    </row>
    <row r="7572" spans="1:1">
      <c r="A7572" t="str">
        <f t="shared" si="118"/>
        <v/>
      </c>
    </row>
    <row r="7573" spans="1:1">
      <c r="A7573" t="str">
        <f t="shared" si="118"/>
        <v/>
      </c>
    </row>
    <row r="7574" spans="1:1">
      <c r="A7574" t="str">
        <f t="shared" si="118"/>
        <v/>
      </c>
    </row>
    <row r="7575" spans="1:1">
      <c r="A7575" t="str">
        <f t="shared" si="118"/>
        <v/>
      </c>
    </row>
    <row r="7576" spans="1:1">
      <c r="A7576" t="str">
        <f t="shared" si="118"/>
        <v/>
      </c>
    </row>
    <row r="7577" spans="1:1">
      <c r="A7577" t="str">
        <f t="shared" si="118"/>
        <v/>
      </c>
    </row>
    <row r="7578" spans="1:1">
      <c r="A7578" t="str">
        <f t="shared" si="118"/>
        <v/>
      </c>
    </row>
    <row r="7579" spans="1:1">
      <c r="A7579" t="str">
        <f t="shared" si="118"/>
        <v/>
      </c>
    </row>
    <row r="7580" spans="1:1">
      <c r="A7580" t="str">
        <f t="shared" si="118"/>
        <v/>
      </c>
    </row>
    <row r="7581" spans="1:1">
      <c r="A7581" t="str">
        <f t="shared" si="118"/>
        <v/>
      </c>
    </row>
    <row r="7582" spans="1:1">
      <c r="A7582" t="str">
        <f t="shared" si="118"/>
        <v/>
      </c>
    </row>
    <row r="7583" spans="1:1">
      <c r="A7583" t="str">
        <f t="shared" si="118"/>
        <v/>
      </c>
    </row>
    <row r="7584" spans="1:1">
      <c r="A7584" t="str">
        <f t="shared" si="118"/>
        <v/>
      </c>
    </row>
    <row r="7585" spans="1:1">
      <c r="A7585" t="str">
        <f t="shared" si="118"/>
        <v/>
      </c>
    </row>
    <row r="7586" spans="1:1">
      <c r="A7586" t="str">
        <f t="shared" si="118"/>
        <v/>
      </c>
    </row>
    <row r="7587" spans="1:1">
      <c r="A7587" t="str">
        <f t="shared" si="118"/>
        <v/>
      </c>
    </row>
    <row r="7588" spans="1:1">
      <c r="A7588" t="str">
        <f t="shared" si="118"/>
        <v/>
      </c>
    </row>
    <row r="7589" spans="1:1">
      <c r="A7589" t="str">
        <f t="shared" si="118"/>
        <v/>
      </c>
    </row>
    <row r="7590" spans="1:1">
      <c r="A7590" t="str">
        <f t="shared" si="118"/>
        <v/>
      </c>
    </row>
    <row r="7591" spans="1:1">
      <c r="A7591" t="str">
        <f t="shared" si="118"/>
        <v/>
      </c>
    </row>
    <row r="7592" spans="1:1">
      <c r="A7592" t="str">
        <f t="shared" si="118"/>
        <v/>
      </c>
    </row>
    <row r="7593" spans="1:1">
      <c r="A7593" t="str">
        <f t="shared" si="118"/>
        <v/>
      </c>
    </row>
    <row r="7594" spans="1:1">
      <c r="A7594" t="str">
        <f t="shared" si="118"/>
        <v/>
      </c>
    </row>
    <row r="7595" spans="1:1">
      <c r="A7595" t="str">
        <f t="shared" si="118"/>
        <v/>
      </c>
    </row>
    <row r="7596" spans="1:1">
      <c r="A7596" t="str">
        <f t="shared" si="118"/>
        <v/>
      </c>
    </row>
    <row r="7597" spans="1:1">
      <c r="A7597" t="str">
        <f t="shared" si="118"/>
        <v/>
      </c>
    </row>
    <row r="7598" spans="1:1">
      <c r="A7598" t="str">
        <f t="shared" si="118"/>
        <v/>
      </c>
    </row>
    <row r="7599" spans="1:1">
      <c r="A7599" t="str">
        <f t="shared" si="118"/>
        <v/>
      </c>
    </row>
    <row r="7600" spans="1:1">
      <c r="A7600" t="str">
        <f t="shared" si="118"/>
        <v/>
      </c>
    </row>
    <row r="7601" spans="1:1">
      <c r="A7601" t="str">
        <f t="shared" si="118"/>
        <v/>
      </c>
    </row>
    <row r="7602" spans="1:1">
      <c r="A7602" t="str">
        <f t="shared" si="118"/>
        <v/>
      </c>
    </row>
    <row r="7603" spans="1:1">
      <c r="A7603" t="str">
        <f t="shared" si="118"/>
        <v/>
      </c>
    </row>
    <row r="7604" spans="1:1">
      <c r="A7604" t="str">
        <f t="shared" si="118"/>
        <v/>
      </c>
    </row>
    <row r="7605" spans="1:1">
      <c r="A7605" t="str">
        <f t="shared" si="118"/>
        <v/>
      </c>
    </row>
    <row r="7606" spans="1:1">
      <c r="A7606" t="str">
        <f t="shared" si="118"/>
        <v/>
      </c>
    </row>
    <row r="7607" spans="1:1">
      <c r="A7607" t="str">
        <f t="shared" si="118"/>
        <v/>
      </c>
    </row>
    <row r="7608" spans="1:1">
      <c r="A7608" t="str">
        <f t="shared" si="118"/>
        <v/>
      </c>
    </row>
    <row r="7609" spans="1:1">
      <c r="A7609" t="str">
        <f t="shared" si="118"/>
        <v/>
      </c>
    </row>
    <row r="7610" spans="1:1">
      <c r="A7610" t="str">
        <f t="shared" si="118"/>
        <v/>
      </c>
    </row>
    <row r="7611" spans="1:1">
      <c r="A7611" t="str">
        <f t="shared" si="118"/>
        <v/>
      </c>
    </row>
    <row r="7612" spans="1:1">
      <c r="A7612" t="str">
        <f t="shared" si="118"/>
        <v/>
      </c>
    </row>
    <row r="7613" spans="1:1">
      <c r="A7613" t="str">
        <f t="shared" si="118"/>
        <v/>
      </c>
    </row>
    <row r="7614" spans="1:1">
      <c r="A7614" t="str">
        <f t="shared" si="118"/>
        <v/>
      </c>
    </row>
    <row r="7615" spans="1:1">
      <c r="A7615" t="str">
        <f t="shared" si="118"/>
        <v/>
      </c>
    </row>
    <row r="7616" spans="1:1">
      <c r="A7616" t="str">
        <f t="shared" ref="A7616:A7679" si="119">CONCATENATE(I7616, B7616)</f>
        <v/>
      </c>
    </row>
    <row r="7617" spans="1:1">
      <c r="A7617" t="str">
        <f t="shared" si="119"/>
        <v/>
      </c>
    </row>
    <row r="7618" spans="1:1">
      <c r="A7618" t="str">
        <f t="shared" si="119"/>
        <v/>
      </c>
    </row>
    <row r="7619" spans="1:1">
      <c r="A7619" t="str">
        <f t="shared" si="119"/>
        <v/>
      </c>
    </row>
    <row r="7620" spans="1:1">
      <c r="A7620" t="str">
        <f t="shared" si="119"/>
        <v/>
      </c>
    </row>
    <row r="7621" spans="1:1">
      <c r="A7621" t="str">
        <f t="shared" si="119"/>
        <v/>
      </c>
    </row>
    <row r="7622" spans="1:1">
      <c r="A7622" t="str">
        <f t="shared" si="119"/>
        <v/>
      </c>
    </row>
    <row r="7623" spans="1:1">
      <c r="A7623" t="str">
        <f t="shared" si="119"/>
        <v/>
      </c>
    </row>
    <row r="7624" spans="1:1">
      <c r="A7624" t="str">
        <f t="shared" si="119"/>
        <v/>
      </c>
    </row>
    <row r="7625" spans="1:1">
      <c r="A7625" t="str">
        <f t="shared" si="119"/>
        <v/>
      </c>
    </row>
    <row r="7626" spans="1:1">
      <c r="A7626" t="str">
        <f t="shared" si="119"/>
        <v/>
      </c>
    </row>
    <row r="7627" spans="1:1">
      <c r="A7627" t="str">
        <f t="shared" si="119"/>
        <v/>
      </c>
    </row>
    <row r="7628" spans="1:1">
      <c r="A7628" t="str">
        <f t="shared" si="119"/>
        <v/>
      </c>
    </row>
    <row r="7629" spans="1:1">
      <c r="A7629" t="str">
        <f t="shared" si="119"/>
        <v/>
      </c>
    </row>
    <row r="7630" spans="1:1">
      <c r="A7630" t="str">
        <f t="shared" si="119"/>
        <v/>
      </c>
    </row>
    <row r="7631" spans="1:1">
      <c r="A7631" t="str">
        <f t="shared" si="119"/>
        <v/>
      </c>
    </row>
    <row r="7632" spans="1:1">
      <c r="A7632" t="str">
        <f t="shared" si="119"/>
        <v/>
      </c>
    </row>
    <row r="7633" spans="1:1">
      <c r="A7633" t="str">
        <f t="shared" si="119"/>
        <v/>
      </c>
    </row>
    <row r="7634" spans="1:1">
      <c r="A7634" t="str">
        <f t="shared" si="119"/>
        <v/>
      </c>
    </row>
    <row r="7635" spans="1:1">
      <c r="A7635" t="str">
        <f t="shared" si="119"/>
        <v/>
      </c>
    </row>
    <row r="7636" spans="1:1">
      <c r="A7636" t="str">
        <f t="shared" si="119"/>
        <v/>
      </c>
    </row>
    <row r="7637" spans="1:1">
      <c r="A7637" t="str">
        <f t="shared" si="119"/>
        <v/>
      </c>
    </row>
    <row r="7638" spans="1:1">
      <c r="A7638" t="str">
        <f t="shared" si="119"/>
        <v/>
      </c>
    </row>
    <row r="7639" spans="1:1">
      <c r="A7639" t="str">
        <f t="shared" si="119"/>
        <v/>
      </c>
    </row>
    <row r="7640" spans="1:1">
      <c r="A7640" t="str">
        <f t="shared" si="119"/>
        <v/>
      </c>
    </row>
    <row r="7641" spans="1:1">
      <c r="A7641" t="str">
        <f t="shared" si="119"/>
        <v/>
      </c>
    </row>
    <row r="7642" spans="1:1">
      <c r="A7642" t="str">
        <f t="shared" si="119"/>
        <v/>
      </c>
    </row>
    <row r="7643" spans="1:1">
      <c r="A7643" t="str">
        <f t="shared" si="119"/>
        <v/>
      </c>
    </row>
    <row r="7644" spans="1:1">
      <c r="A7644" t="str">
        <f t="shared" si="119"/>
        <v/>
      </c>
    </row>
    <row r="7645" spans="1:1">
      <c r="A7645" t="str">
        <f t="shared" si="119"/>
        <v/>
      </c>
    </row>
    <row r="7646" spans="1:1">
      <c r="A7646" t="str">
        <f t="shared" si="119"/>
        <v/>
      </c>
    </row>
    <row r="7647" spans="1:1">
      <c r="A7647" t="str">
        <f t="shared" si="119"/>
        <v/>
      </c>
    </row>
    <row r="7648" spans="1:1">
      <c r="A7648" t="str">
        <f t="shared" si="119"/>
        <v/>
      </c>
    </row>
    <row r="7649" spans="1:1">
      <c r="A7649" t="str">
        <f t="shared" si="119"/>
        <v/>
      </c>
    </row>
    <row r="7650" spans="1:1">
      <c r="A7650" t="str">
        <f t="shared" si="119"/>
        <v/>
      </c>
    </row>
    <row r="7651" spans="1:1">
      <c r="A7651" t="str">
        <f t="shared" si="119"/>
        <v/>
      </c>
    </row>
    <row r="7652" spans="1:1">
      <c r="A7652" t="str">
        <f t="shared" si="119"/>
        <v/>
      </c>
    </row>
    <row r="7653" spans="1:1">
      <c r="A7653" t="str">
        <f t="shared" si="119"/>
        <v/>
      </c>
    </row>
    <row r="7654" spans="1:1">
      <c r="A7654" t="str">
        <f t="shared" si="119"/>
        <v/>
      </c>
    </row>
    <row r="7655" spans="1:1">
      <c r="A7655" t="str">
        <f t="shared" si="119"/>
        <v/>
      </c>
    </row>
    <row r="7656" spans="1:1">
      <c r="A7656" t="str">
        <f t="shared" si="119"/>
        <v/>
      </c>
    </row>
    <row r="7657" spans="1:1">
      <c r="A7657" t="str">
        <f t="shared" si="119"/>
        <v/>
      </c>
    </row>
    <row r="7658" spans="1:1">
      <c r="A7658" t="str">
        <f t="shared" si="119"/>
        <v/>
      </c>
    </row>
    <row r="7659" spans="1:1">
      <c r="A7659" t="str">
        <f t="shared" si="119"/>
        <v/>
      </c>
    </row>
    <row r="7660" spans="1:1">
      <c r="A7660" t="str">
        <f t="shared" si="119"/>
        <v/>
      </c>
    </row>
    <row r="7661" spans="1:1">
      <c r="A7661" t="str">
        <f t="shared" si="119"/>
        <v/>
      </c>
    </row>
    <row r="7662" spans="1:1">
      <c r="A7662" t="str">
        <f t="shared" si="119"/>
        <v/>
      </c>
    </row>
    <row r="7663" spans="1:1">
      <c r="A7663" t="str">
        <f t="shared" si="119"/>
        <v/>
      </c>
    </row>
    <row r="7664" spans="1:1">
      <c r="A7664" t="str">
        <f t="shared" si="119"/>
        <v/>
      </c>
    </row>
    <row r="7665" spans="1:1">
      <c r="A7665" t="str">
        <f t="shared" si="119"/>
        <v/>
      </c>
    </row>
    <row r="7666" spans="1:1">
      <c r="A7666" t="str">
        <f t="shared" si="119"/>
        <v/>
      </c>
    </row>
    <row r="7667" spans="1:1">
      <c r="A7667" t="str">
        <f t="shared" si="119"/>
        <v/>
      </c>
    </row>
    <row r="7668" spans="1:1">
      <c r="A7668" t="str">
        <f t="shared" si="119"/>
        <v/>
      </c>
    </row>
    <row r="7669" spans="1:1">
      <c r="A7669" t="str">
        <f t="shared" si="119"/>
        <v/>
      </c>
    </row>
    <row r="7670" spans="1:1">
      <c r="A7670" t="str">
        <f t="shared" si="119"/>
        <v/>
      </c>
    </row>
    <row r="7671" spans="1:1">
      <c r="A7671" t="str">
        <f t="shared" si="119"/>
        <v/>
      </c>
    </row>
    <row r="7672" spans="1:1">
      <c r="A7672" t="str">
        <f t="shared" si="119"/>
        <v/>
      </c>
    </row>
    <row r="7673" spans="1:1">
      <c r="A7673" t="str">
        <f t="shared" si="119"/>
        <v/>
      </c>
    </row>
    <row r="7674" spans="1:1">
      <c r="A7674" t="str">
        <f t="shared" si="119"/>
        <v/>
      </c>
    </row>
    <row r="7675" spans="1:1">
      <c r="A7675" t="str">
        <f t="shared" si="119"/>
        <v/>
      </c>
    </row>
    <row r="7676" spans="1:1">
      <c r="A7676" t="str">
        <f t="shared" si="119"/>
        <v/>
      </c>
    </row>
    <row r="7677" spans="1:1">
      <c r="A7677" t="str">
        <f t="shared" si="119"/>
        <v/>
      </c>
    </row>
    <row r="7678" spans="1:1">
      <c r="A7678" t="str">
        <f t="shared" si="119"/>
        <v/>
      </c>
    </row>
    <row r="7679" spans="1:1">
      <c r="A7679" t="str">
        <f t="shared" si="119"/>
        <v/>
      </c>
    </row>
    <row r="7680" spans="1:1">
      <c r="A7680" t="str">
        <f t="shared" ref="A7680:A7743" si="120">CONCATENATE(I7680, B7680)</f>
        <v/>
      </c>
    </row>
    <row r="7681" spans="1:1">
      <c r="A7681" t="str">
        <f t="shared" si="120"/>
        <v/>
      </c>
    </row>
    <row r="7682" spans="1:1">
      <c r="A7682" t="str">
        <f t="shared" si="120"/>
        <v/>
      </c>
    </row>
    <row r="7683" spans="1:1">
      <c r="A7683" t="str">
        <f t="shared" si="120"/>
        <v/>
      </c>
    </row>
    <row r="7684" spans="1:1">
      <c r="A7684" t="str">
        <f t="shared" si="120"/>
        <v/>
      </c>
    </row>
    <row r="7685" spans="1:1">
      <c r="A7685" t="str">
        <f t="shared" si="120"/>
        <v/>
      </c>
    </row>
    <row r="7686" spans="1:1">
      <c r="A7686" t="str">
        <f t="shared" si="120"/>
        <v/>
      </c>
    </row>
    <row r="7687" spans="1:1">
      <c r="A7687" t="str">
        <f t="shared" si="120"/>
        <v/>
      </c>
    </row>
    <row r="7688" spans="1:1">
      <c r="A7688" t="str">
        <f t="shared" si="120"/>
        <v/>
      </c>
    </row>
    <row r="7689" spans="1:1">
      <c r="A7689" t="str">
        <f t="shared" si="120"/>
        <v/>
      </c>
    </row>
    <row r="7690" spans="1:1">
      <c r="A7690" t="str">
        <f t="shared" si="120"/>
        <v/>
      </c>
    </row>
    <row r="7691" spans="1:1">
      <c r="A7691" t="str">
        <f t="shared" si="120"/>
        <v/>
      </c>
    </row>
    <row r="7692" spans="1:1">
      <c r="A7692" t="str">
        <f t="shared" si="120"/>
        <v/>
      </c>
    </row>
    <row r="7693" spans="1:1">
      <c r="A7693" t="str">
        <f t="shared" si="120"/>
        <v/>
      </c>
    </row>
    <row r="7694" spans="1:1">
      <c r="A7694" t="str">
        <f t="shared" si="120"/>
        <v/>
      </c>
    </row>
    <row r="7695" spans="1:1">
      <c r="A7695" t="str">
        <f t="shared" si="120"/>
        <v/>
      </c>
    </row>
    <row r="7696" spans="1:1">
      <c r="A7696" t="str">
        <f t="shared" si="120"/>
        <v/>
      </c>
    </row>
    <row r="7697" spans="1:1">
      <c r="A7697" t="str">
        <f t="shared" si="120"/>
        <v/>
      </c>
    </row>
    <row r="7698" spans="1:1">
      <c r="A7698" t="str">
        <f t="shared" si="120"/>
        <v/>
      </c>
    </row>
    <row r="7699" spans="1:1">
      <c r="A7699" t="str">
        <f t="shared" si="120"/>
        <v/>
      </c>
    </row>
    <row r="7700" spans="1:1">
      <c r="A7700" t="str">
        <f t="shared" si="120"/>
        <v/>
      </c>
    </row>
    <row r="7701" spans="1:1">
      <c r="A7701" t="str">
        <f t="shared" si="120"/>
        <v/>
      </c>
    </row>
    <row r="7702" spans="1:1">
      <c r="A7702" t="str">
        <f t="shared" si="120"/>
        <v/>
      </c>
    </row>
    <row r="7703" spans="1:1">
      <c r="A7703" t="str">
        <f t="shared" si="120"/>
        <v/>
      </c>
    </row>
    <row r="7704" spans="1:1">
      <c r="A7704" t="str">
        <f t="shared" si="120"/>
        <v/>
      </c>
    </row>
    <row r="7705" spans="1:1">
      <c r="A7705" t="str">
        <f t="shared" si="120"/>
        <v/>
      </c>
    </row>
    <row r="7706" spans="1:1">
      <c r="A7706" t="str">
        <f t="shared" si="120"/>
        <v/>
      </c>
    </row>
    <row r="7707" spans="1:1">
      <c r="A7707" t="str">
        <f t="shared" si="120"/>
        <v/>
      </c>
    </row>
    <row r="7708" spans="1:1">
      <c r="A7708" t="str">
        <f t="shared" si="120"/>
        <v/>
      </c>
    </row>
    <row r="7709" spans="1:1">
      <c r="A7709" t="str">
        <f t="shared" si="120"/>
        <v/>
      </c>
    </row>
    <row r="7710" spans="1:1">
      <c r="A7710" t="str">
        <f t="shared" si="120"/>
        <v/>
      </c>
    </row>
    <row r="7711" spans="1:1">
      <c r="A7711" t="str">
        <f t="shared" si="120"/>
        <v/>
      </c>
    </row>
    <row r="7712" spans="1:1">
      <c r="A7712" t="str">
        <f t="shared" si="120"/>
        <v/>
      </c>
    </row>
    <row r="7713" spans="1:1">
      <c r="A7713" t="str">
        <f t="shared" si="120"/>
        <v/>
      </c>
    </row>
    <row r="7714" spans="1:1">
      <c r="A7714" t="str">
        <f t="shared" si="120"/>
        <v/>
      </c>
    </row>
    <row r="7715" spans="1:1">
      <c r="A7715" t="str">
        <f t="shared" si="120"/>
        <v/>
      </c>
    </row>
    <row r="7716" spans="1:1">
      <c r="A7716" t="str">
        <f t="shared" si="120"/>
        <v/>
      </c>
    </row>
    <row r="7717" spans="1:1">
      <c r="A7717" t="str">
        <f t="shared" si="120"/>
        <v/>
      </c>
    </row>
    <row r="7718" spans="1:1">
      <c r="A7718" t="str">
        <f t="shared" si="120"/>
        <v/>
      </c>
    </row>
    <row r="7719" spans="1:1">
      <c r="A7719" t="str">
        <f t="shared" si="120"/>
        <v/>
      </c>
    </row>
    <row r="7720" spans="1:1">
      <c r="A7720" t="str">
        <f t="shared" si="120"/>
        <v/>
      </c>
    </row>
    <row r="7721" spans="1:1">
      <c r="A7721" t="str">
        <f t="shared" si="120"/>
        <v/>
      </c>
    </row>
    <row r="7722" spans="1:1">
      <c r="A7722" t="str">
        <f t="shared" si="120"/>
        <v/>
      </c>
    </row>
    <row r="7723" spans="1:1">
      <c r="A7723" t="str">
        <f t="shared" si="120"/>
        <v/>
      </c>
    </row>
    <row r="7724" spans="1:1">
      <c r="A7724" t="str">
        <f t="shared" si="120"/>
        <v/>
      </c>
    </row>
    <row r="7725" spans="1:1">
      <c r="A7725" t="str">
        <f t="shared" si="120"/>
        <v/>
      </c>
    </row>
    <row r="7726" spans="1:1">
      <c r="A7726" t="str">
        <f t="shared" si="120"/>
        <v/>
      </c>
    </row>
    <row r="7727" spans="1:1">
      <c r="A7727" t="str">
        <f t="shared" si="120"/>
        <v/>
      </c>
    </row>
    <row r="7728" spans="1:1">
      <c r="A7728" t="str">
        <f t="shared" si="120"/>
        <v/>
      </c>
    </row>
    <row r="7729" spans="1:1">
      <c r="A7729" t="str">
        <f t="shared" si="120"/>
        <v/>
      </c>
    </row>
    <row r="7730" spans="1:1">
      <c r="A7730" t="str">
        <f t="shared" si="120"/>
        <v/>
      </c>
    </row>
    <row r="7731" spans="1:1">
      <c r="A7731" t="str">
        <f t="shared" si="120"/>
        <v/>
      </c>
    </row>
    <row r="7732" spans="1:1">
      <c r="A7732" t="str">
        <f t="shared" si="120"/>
        <v/>
      </c>
    </row>
    <row r="7733" spans="1:1">
      <c r="A7733" t="str">
        <f t="shared" si="120"/>
        <v/>
      </c>
    </row>
    <row r="7734" spans="1:1">
      <c r="A7734" t="str">
        <f t="shared" si="120"/>
        <v/>
      </c>
    </row>
    <row r="7735" spans="1:1">
      <c r="A7735" t="str">
        <f t="shared" si="120"/>
        <v/>
      </c>
    </row>
    <row r="7736" spans="1:1">
      <c r="A7736" t="str">
        <f t="shared" si="120"/>
        <v/>
      </c>
    </row>
    <row r="7737" spans="1:1">
      <c r="A7737" t="str">
        <f t="shared" si="120"/>
        <v/>
      </c>
    </row>
    <row r="7738" spans="1:1">
      <c r="A7738" t="str">
        <f t="shared" si="120"/>
        <v/>
      </c>
    </row>
    <row r="7739" spans="1:1">
      <c r="A7739" t="str">
        <f t="shared" si="120"/>
        <v/>
      </c>
    </row>
    <row r="7740" spans="1:1">
      <c r="A7740" t="str">
        <f t="shared" si="120"/>
        <v/>
      </c>
    </row>
    <row r="7741" spans="1:1">
      <c r="A7741" t="str">
        <f t="shared" si="120"/>
        <v/>
      </c>
    </row>
    <row r="7742" spans="1:1">
      <c r="A7742" t="str">
        <f t="shared" si="120"/>
        <v/>
      </c>
    </row>
    <row r="7743" spans="1:1">
      <c r="A7743" t="str">
        <f t="shared" si="120"/>
        <v/>
      </c>
    </row>
    <row r="7744" spans="1:1">
      <c r="A7744" t="str">
        <f t="shared" ref="A7744:A7807" si="121">CONCATENATE(I7744, B7744)</f>
        <v/>
      </c>
    </row>
    <row r="7745" spans="1:1">
      <c r="A7745" t="str">
        <f t="shared" si="121"/>
        <v/>
      </c>
    </row>
    <row r="7746" spans="1:1">
      <c r="A7746" t="str">
        <f t="shared" si="121"/>
        <v/>
      </c>
    </row>
    <row r="7747" spans="1:1">
      <c r="A7747" t="str">
        <f t="shared" si="121"/>
        <v/>
      </c>
    </row>
    <row r="7748" spans="1:1">
      <c r="A7748" t="str">
        <f t="shared" si="121"/>
        <v/>
      </c>
    </row>
    <row r="7749" spans="1:1">
      <c r="A7749" t="str">
        <f t="shared" si="121"/>
        <v/>
      </c>
    </row>
    <row r="7750" spans="1:1">
      <c r="A7750" t="str">
        <f t="shared" si="121"/>
        <v/>
      </c>
    </row>
    <row r="7751" spans="1:1">
      <c r="A7751" t="str">
        <f t="shared" si="121"/>
        <v/>
      </c>
    </row>
    <row r="7752" spans="1:1">
      <c r="A7752" t="str">
        <f t="shared" si="121"/>
        <v/>
      </c>
    </row>
    <row r="7753" spans="1:1">
      <c r="A7753" t="str">
        <f t="shared" si="121"/>
        <v/>
      </c>
    </row>
    <row r="7754" spans="1:1">
      <c r="A7754" t="str">
        <f t="shared" si="121"/>
        <v/>
      </c>
    </row>
    <row r="7755" spans="1:1">
      <c r="A7755" t="str">
        <f t="shared" si="121"/>
        <v/>
      </c>
    </row>
    <row r="7756" spans="1:1">
      <c r="A7756" t="str">
        <f t="shared" si="121"/>
        <v/>
      </c>
    </row>
    <row r="7757" spans="1:1">
      <c r="A7757" t="str">
        <f t="shared" si="121"/>
        <v/>
      </c>
    </row>
    <row r="7758" spans="1:1">
      <c r="A7758" t="str">
        <f t="shared" si="121"/>
        <v/>
      </c>
    </row>
    <row r="7759" spans="1:1">
      <c r="A7759" t="str">
        <f t="shared" si="121"/>
        <v/>
      </c>
    </row>
    <row r="7760" spans="1:1">
      <c r="A7760" t="str">
        <f t="shared" si="121"/>
        <v/>
      </c>
    </row>
    <row r="7761" spans="1:1">
      <c r="A7761" t="str">
        <f t="shared" si="121"/>
        <v/>
      </c>
    </row>
    <row r="7762" spans="1:1">
      <c r="A7762" t="str">
        <f t="shared" si="121"/>
        <v/>
      </c>
    </row>
    <row r="7763" spans="1:1">
      <c r="A7763" t="str">
        <f t="shared" si="121"/>
        <v/>
      </c>
    </row>
    <row r="7764" spans="1:1">
      <c r="A7764" t="str">
        <f t="shared" si="121"/>
        <v/>
      </c>
    </row>
    <row r="7765" spans="1:1">
      <c r="A7765" t="str">
        <f t="shared" si="121"/>
        <v/>
      </c>
    </row>
    <row r="7766" spans="1:1">
      <c r="A7766" t="str">
        <f t="shared" si="121"/>
        <v/>
      </c>
    </row>
    <row r="7767" spans="1:1">
      <c r="A7767" t="str">
        <f t="shared" si="121"/>
        <v/>
      </c>
    </row>
    <row r="7768" spans="1:1">
      <c r="A7768" t="str">
        <f t="shared" si="121"/>
        <v/>
      </c>
    </row>
    <row r="7769" spans="1:1">
      <c r="A7769" t="str">
        <f t="shared" si="121"/>
        <v/>
      </c>
    </row>
    <row r="7770" spans="1:1">
      <c r="A7770" t="str">
        <f t="shared" si="121"/>
        <v/>
      </c>
    </row>
    <row r="7771" spans="1:1">
      <c r="A7771" t="str">
        <f t="shared" si="121"/>
        <v/>
      </c>
    </row>
    <row r="7772" spans="1:1">
      <c r="A7772" t="str">
        <f t="shared" si="121"/>
        <v/>
      </c>
    </row>
    <row r="7773" spans="1:1">
      <c r="A7773" t="str">
        <f t="shared" si="121"/>
        <v/>
      </c>
    </row>
    <row r="7774" spans="1:1">
      <c r="A7774" t="str">
        <f t="shared" si="121"/>
        <v/>
      </c>
    </row>
    <row r="7775" spans="1:1">
      <c r="A7775" t="str">
        <f t="shared" si="121"/>
        <v/>
      </c>
    </row>
    <row r="7776" spans="1:1">
      <c r="A7776" t="str">
        <f t="shared" si="121"/>
        <v/>
      </c>
    </row>
    <row r="7777" spans="1:1">
      <c r="A7777" t="str">
        <f t="shared" si="121"/>
        <v/>
      </c>
    </row>
    <row r="7778" spans="1:1">
      <c r="A7778" t="str">
        <f t="shared" si="121"/>
        <v/>
      </c>
    </row>
    <row r="7779" spans="1:1">
      <c r="A7779" t="str">
        <f t="shared" si="121"/>
        <v/>
      </c>
    </row>
    <row r="7780" spans="1:1">
      <c r="A7780" t="str">
        <f t="shared" si="121"/>
        <v/>
      </c>
    </row>
    <row r="7781" spans="1:1">
      <c r="A7781" t="str">
        <f t="shared" si="121"/>
        <v/>
      </c>
    </row>
    <row r="7782" spans="1:1">
      <c r="A7782" t="str">
        <f t="shared" si="121"/>
        <v/>
      </c>
    </row>
    <row r="7783" spans="1:1">
      <c r="A7783" t="str">
        <f t="shared" si="121"/>
        <v/>
      </c>
    </row>
    <row r="7784" spans="1:1">
      <c r="A7784" t="str">
        <f t="shared" si="121"/>
        <v/>
      </c>
    </row>
    <row r="7785" spans="1:1">
      <c r="A7785" t="str">
        <f t="shared" si="121"/>
        <v/>
      </c>
    </row>
    <row r="7786" spans="1:1">
      <c r="A7786" t="str">
        <f t="shared" si="121"/>
        <v/>
      </c>
    </row>
    <row r="7787" spans="1:1">
      <c r="A7787" t="str">
        <f t="shared" si="121"/>
        <v/>
      </c>
    </row>
    <row r="7788" spans="1:1">
      <c r="A7788" t="str">
        <f t="shared" si="121"/>
        <v/>
      </c>
    </row>
    <row r="7789" spans="1:1">
      <c r="A7789" t="str">
        <f t="shared" si="121"/>
        <v/>
      </c>
    </row>
    <row r="7790" spans="1:1">
      <c r="A7790" t="str">
        <f t="shared" si="121"/>
        <v/>
      </c>
    </row>
    <row r="7791" spans="1:1">
      <c r="A7791" t="str">
        <f t="shared" si="121"/>
        <v/>
      </c>
    </row>
    <row r="7792" spans="1:1">
      <c r="A7792" t="str">
        <f t="shared" si="121"/>
        <v/>
      </c>
    </row>
    <row r="7793" spans="1:1">
      <c r="A7793" t="str">
        <f t="shared" si="121"/>
        <v/>
      </c>
    </row>
    <row r="7794" spans="1:1">
      <c r="A7794" t="str">
        <f t="shared" si="121"/>
        <v/>
      </c>
    </row>
    <row r="7795" spans="1:1">
      <c r="A7795" t="str">
        <f t="shared" si="121"/>
        <v/>
      </c>
    </row>
    <row r="7796" spans="1:1">
      <c r="A7796" t="str">
        <f t="shared" si="121"/>
        <v/>
      </c>
    </row>
    <row r="7797" spans="1:1">
      <c r="A7797" t="str">
        <f t="shared" si="121"/>
        <v/>
      </c>
    </row>
    <row r="7798" spans="1:1">
      <c r="A7798" t="str">
        <f t="shared" si="121"/>
        <v/>
      </c>
    </row>
    <row r="7799" spans="1:1">
      <c r="A7799" t="str">
        <f t="shared" si="121"/>
        <v/>
      </c>
    </row>
    <row r="7800" spans="1:1">
      <c r="A7800" t="str">
        <f t="shared" si="121"/>
        <v/>
      </c>
    </row>
    <row r="7801" spans="1:1">
      <c r="A7801" t="str">
        <f t="shared" si="121"/>
        <v/>
      </c>
    </row>
    <row r="7802" spans="1:1">
      <c r="A7802" t="str">
        <f t="shared" si="121"/>
        <v/>
      </c>
    </row>
    <row r="7803" spans="1:1">
      <c r="A7803" t="str">
        <f t="shared" si="121"/>
        <v/>
      </c>
    </row>
    <row r="7804" spans="1:1">
      <c r="A7804" t="str">
        <f t="shared" si="121"/>
        <v/>
      </c>
    </row>
    <row r="7805" spans="1:1">
      <c r="A7805" t="str">
        <f t="shared" si="121"/>
        <v/>
      </c>
    </row>
    <row r="7806" spans="1:1">
      <c r="A7806" t="str">
        <f t="shared" si="121"/>
        <v/>
      </c>
    </row>
    <row r="7807" spans="1:1">
      <c r="A7807" t="str">
        <f t="shared" si="121"/>
        <v/>
      </c>
    </row>
    <row r="7808" spans="1:1">
      <c r="A7808" t="str">
        <f t="shared" ref="A7808:A7871" si="122">CONCATENATE(I7808, B7808)</f>
        <v/>
      </c>
    </row>
    <row r="7809" spans="1:1">
      <c r="A7809" t="str">
        <f t="shared" si="122"/>
        <v/>
      </c>
    </row>
    <row r="7810" spans="1:1">
      <c r="A7810" t="str">
        <f t="shared" si="122"/>
        <v/>
      </c>
    </row>
    <row r="7811" spans="1:1">
      <c r="A7811" t="str">
        <f t="shared" si="122"/>
        <v/>
      </c>
    </row>
    <row r="7812" spans="1:1">
      <c r="A7812" t="str">
        <f t="shared" si="122"/>
        <v/>
      </c>
    </row>
    <row r="7813" spans="1:1">
      <c r="A7813" t="str">
        <f t="shared" si="122"/>
        <v/>
      </c>
    </row>
    <row r="7814" spans="1:1">
      <c r="A7814" t="str">
        <f t="shared" si="122"/>
        <v/>
      </c>
    </row>
    <row r="7815" spans="1:1">
      <c r="A7815" t="str">
        <f t="shared" si="122"/>
        <v/>
      </c>
    </row>
    <row r="7816" spans="1:1">
      <c r="A7816" t="str">
        <f t="shared" si="122"/>
        <v/>
      </c>
    </row>
    <row r="7817" spans="1:1">
      <c r="A7817" t="str">
        <f t="shared" si="122"/>
        <v/>
      </c>
    </row>
    <row r="7818" spans="1:1">
      <c r="A7818" t="str">
        <f t="shared" si="122"/>
        <v/>
      </c>
    </row>
    <row r="7819" spans="1:1">
      <c r="A7819" t="str">
        <f t="shared" si="122"/>
        <v/>
      </c>
    </row>
    <row r="7820" spans="1:1">
      <c r="A7820" t="str">
        <f t="shared" si="122"/>
        <v/>
      </c>
    </row>
    <row r="7821" spans="1:1">
      <c r="A7821" t="str">
        <f t="shared" si="122"/>
        <v/>
      </c>
    </row>
    <row r="7822" spans="1:1">
      <c r="A7822" t="str">
        <f t="shared" si="122"/>
        <v/>
      </c>
    </row>
    <row r="7823" spans="1:1">
      <c r="A7823" t="str">
        <f t="shared" si="122"/>
        <v/>
      </c>
    </row>
    <row r="7824" spans="1:1">
      <c r="A7824" t="str">
        <f t="shared" si="122"/>
        <v/>
      </c>
    </row>
    <row r="7825" spans="1:1">
      <c r="A7825" t="str">
        <f t="shared" si="122"/>
        <v/>
      </c>
    </row>
    <row r="7826" spans="1:1">
      <c r="A7826" t="str">
        <f t="shared" si="122"/>
        <v/>
      </c>
    </row>
    <row r="7827" spans="1:1">
      <c r="A7827" t="str">
        <f t="shared" si="122"/>
        <v/>
      </c>
    </row>
    <row r="7828" spans="1:1">
      <c r="A7828" t="str">
        <f t="shared" si="122"/>
        <v/>
      </c>
    </row>
    <row r="7829" spans="1:1">
      <c r="A7829" t="str">
        <f t="shared" si="122"/>
        <v/>
      </c>
    </row>
    <row r="7830" spans="1:1">
      <c r="A7830" t="str">
        <f t="shared" si="122"/>
        <v/>
      </c>
    </row>
    <row r="7831" spans="1:1">
      <c r="A7831" t="str">
        <f t="shared" si="122"/>
        <v/>
      </c>
    </row>
    <row r="7832" spans="1:1">
      <c r="A7832" t="str">
        <f t="shared" si="122"/>
        <v/>
      </c>
    </row>
    <row r="7833" spans="1:1">
      <c r="A7833" t="str">
        <f t="shared" si="122"/>
        <v/>
      </c>
    </row>
    <row r="7834" spans="1:1">
      <c r="A7834" t="str">
        <f t="shared" si="122"/>
        <v/>
      </c>
    </row>
    <row r="7835" spans="1:1">
      <c r="A7835" t="str">
        <f t="shared" si="122"/>
        <v/>
      </c>
    </row>
    <row r="7836" spans="1:1">
      <c r="A7836" t="str">
        <f t="shared" si="122"/>
        <v/>
      </c>
    </row>
    <row r="7837" spans="1:1">
      <c r="A7837" t="str">
        <f t="shared" si="122"/>
        <v/>
      </c>
    </row>
    <row r="7838" spans="1:1">
      <c r="A7838" t="str">
        <f t="shared" si="122"/>
        <v/>
      </c>
    </row>
    <row r="7839" spans="1:1">
      <c r="A7839" t="str">
        <f t="shared" si="122"/>
        <v/>
      </c>
    </row>
    <row r="7840" spans="1:1">
      <c r="A7840" t="str">
        <f t="shared" si="122"/>
        <v/>
      </c>
    </row>
    <row r="7841" spans="1:1">
      <c r="A7841" t="str">
        <f t="shared" si="122"/>
        <v/>
      </c>
    </row>
    <row r="7842" spans="1:1">
      <c r="A7842" t="str">
        <f t="shared" si="122"/>
        <v/>
      </c>
    </row>
    <row r="7843" spans="1:1">
      <c r="A7843" t="str">
        <f t="shared" si="122"/>
        <v/>
      </c>
    </row>
    <row r="7844" spans="1:1">
      <c r="A7844" t="str">
        <f t="shared" si="122"/>
        <v/>
      </c>
    </row>
    <row r="7845" spans="1:1">
      <c r="A7845" t="str">
        <f t="shared" si="122"/>
        <v/>
      </c>
    </row>
    <row r="7846" spans="1:1">
      <c r="A7846" t="str">
        <f t="shared" si="122"/>
        <v/>
      </c>
    </row>
    <row r="7847" spans="1:1">
      <c r="A7847" t="str">
        <f t="shared" si="122"/>
        <v/>
      </c>
    </row>
    <row r="7848" spans="1:1">
      <c r="A7848" t="str">
        <f t="shared" si="122"/>
        <v/>
      </c>
    </row>
    <row r="7849" spans="1:1">
      <c r="A7849" t="str">
        <f t="shared" si="122"/>
        <v/>
      </c>
    </row>
    <row r="7850" spans="1:1">
      <c r="A7850" t="str">
        <f t="shared" si="122"/>
        <v/>
      </c>
    </row>
    <row r="7851" spans="1:1">
      <c r="A7851" t="str">
        <f t="shared" si="122"/>
        <v/>
      </c>
    </row>
    <row r="7852" spans="1:1">
      <c r="A7852" t="str">
        <f t="shared" si="122"/>
        <v/>
      </c>
    </row>
    <row r="7853" spans="1:1">
      <c r="A7853" t="str">
        <f t="shared" si="122"/>
        <v/>
      </c>
    </row>
    <row r="7854" spans="1:1">
      <c r="A7854" t="str">
        <f t="shared" si="122"/>
        <v/>
      </c>
    </row>
    <row r="7855" spans="1:1">
      <c r="A7855" t="str">
        <f t="shared" si="122"/>
        <v/>
      </c>
    </row>
    <row r="7856" spans="1:1">
      <c r="A7856" t="str">
        <f t="shared" si="122"/>
        <v/>
      </c>
    </row>
    <row r="7857" spans="1:1">
      <c r="A7857" t="str">
        <f t="shared" si="122"/>
        <v/>
      </c>
    </row>
    <row r="7858" spans="1:1">
      <c r="A7858" t="str">
        <f t="shared" si="122"/>
        <v/>
      </c>
    </row>
    <row r="7859" spans="1:1">
      <c r="A7859" t="str">
        <f t="shared" si="122"/>
        <v/>
      </c>
    </row>
    <row r="7860" spans="1:1">
      <c r="A7860" t="str">
        <f t="shared" si="122"/>
        <v/>
      </c>
    </row>
    <row r="7861" spans="1:1">
      <c r="A7861" t="str">
        <f t="shared" si="122"/>
        <v/>
      </c>
    </row>
    <row r="7862" spans="1:1">
      <c r="A7862" t="str">
        <f t="shared" si="122"/>
        <v/>
      </c>
    </row>
    <row r="7863" spans="1:1">
      <c r="A7863" t="str">
        <f t="shared" si="122"/>
        <v/>
      </c>
    </row>
    <row r="7864" spans="1:1">
      <c r="A7864" t="str">
        <f t="shared" si="122"/>
        <v/>
      </c>
    </row>
    <row r="7865" spans="1:1">
      <c r="A7865" t="str">
        <f t="shared" si="122"/>
        <v/>
      </c>
    </row>
    <row r="7866" spans="1:1">
      <c r="A7866" t="str">
        <f t="shared" si="122"/>
        <v/>
      </c>
    </row>
    <row r="7867" spans="1:1">
      <c r="A7867" t="str">
        <f t="shared" si="122"/>
        <v/>
      </c>
    </row>
    <row r="7868" spans="1:1">
      <c r="A7868" t="str">
        <f t="shared" si="122"/>
        <v/>
      </c>
    </row>
    <row r="7869" spans="1:1">
      <c r="A7869" t="str">
        <f t="shared" si="122"/>
        <v/>
      </c>
    </row>
    <row r="7870" spans="1:1">
      <c r="A7870" t="str">
        <f t="shared" si="122"/>
        <v/>
      </c>
    </row>
    <row r="7871" spans="1:1">
      <c r="A7871" t="str">
        <f t="shared" si="122"/>
        <v/>
      </c>
    </row>
    <row r="7872" spans="1:1">
      <c r="A7872" t="str">
        <f t="shared" ref="A7872:A7935" si="123">CONCATENATE(I7872, B7872)</f>
        <v/>
      </c>
    </row>
    <row r="7873" spans="1:1">
      <c r="A7873" t="str">
        <f t="shared" si="123"/>
        <v/>
      </c>
    </row>
    <row r="7874" spans="1:1">
      <c r="A7874" t="str">
        <f t="shared" si="123"/>
        <v/>
      </c>
    </row>
    <row r="7875" spans="1:1">
      <c r="A7875" t="str">
        <f t="shared" si="123"/>
        <v/>
      </c>
    </row>
    <row r="7876" spans="1:1">
      <c r="A7876" t="str">
        <f t="shared" si="123"/>
        <v/>
      </c>
    </row>
    <row r="7877" spans="1:1">
      <c r="A7877" t="str">
        <f t="shared" si="123"/>
        <v/>
      </c>
    </row>
    <row r="7878" spans="1:1">
      <c r="A7878" t="str">
        <f t="shared" si="123"/>
        <v/>
      </c>
    </row>
    <row r="7879" spans="1:1">
      <c r="A7879" t="str">
        <f t="shared" si="123"/>
        <v/>
      </c>
    </row>
    <row r="7880" spans="1:1">
      <c r="A7880" t="str">
        <f t="shared" si="123"/>
        <v/>
      </c>
    </row>
    <row r="7881" spans="1:1">
      <c r="A7881" t="str">
        <f t="shared" si="123"/>
        <v/>
      </c>
    </row>
    <row r="7882" spans="1:1">
      <c r="A7882" t="str">
        <f t="shared" si="123"/>
        <v/>
      </c>
    </row>
    <row r="7883" spans="1:1">
      <c r="A7883" t="str">
        <f t="shared" si="123"/>
        <v/>
      </c>
    </row>
    <row r="7884" spans="1:1">
      <c r="A7884" t="str">
        <f t="shared" si="123"/>
        <v/>
      </c>
    </row>
    <row r="7885" spans="1:1">
      <c r="A7885" t="str">
        <f t="shared" si="123"/>
        <v/>
      </c>
    </row>
    <row r="7886" spans="1:1">
      <c r="A7886" t="str">
        <f t="shared" si="123"/>
        <v/>
      </c>
    </row>
    <row r="7887" spans="1:1">
      <c r="A7887" t="str">
        <f t="shared" si="123"/>
        <v/>
      </c>
    </row>
    <row r="7888" spans="1:1">
      <c r="A7888" t="str">
        <f t="shared" si="123"/>
        <v/>
      </c>
    </row>
    <row r="7889" spans="1:1">
      <c r="A7889" t="str">
        <f t="shared" si="123"/>
        <v/>
      </c>
    </row>
    <row r="7890" spans="1:1">
      <c r="A7890" t="str">
        <f t="shared" si="123"/>
        <v/>
      </c>
    </row>
    <row r="7891" spans="1:1">
      <c r="A7891" t="str">
        <f t="shared" si="123"/>
        <v/>
      </c>
    </row>
    <row r="7892" spans="1:1">
      <c r="A7892" t="str">
        <f t="shared" si="123"/>
        <v/>
      </c>
    </row>
    <row r="7893" spans="1:1">
      <c r="A7893" t="str">
        <f t="shared" si="123"/>
        <v/>
      </c>
    </row>
    <row r="7894" spans="1:1">
      <c r="A7894" t="str">
        <f t="shared" si="123"/>
        <v/>
      </c>
    </row>
    <row r="7895" spans="1:1">
      <c r="A7895" t="str">
        <f t="shared" si="123"/>
        <v/>
      </c>
    </row>
    <row r="7896" spans="1:1">
      <c r="A7896" t="str">
        <f t="shared" si="123"/>
        <v/>
      </c>
    </row>
    <row r="7897" spans="1:1">
      <c r="A7897" t="str">
        <f t="shared" si="123"/>
        <v/>
      </c>
    </row>
    <row r="7898" spans="1:1">
      <c r="A7898" t="str">
        <f t="shared" si="123"/>
        <v/>
      </c>
    </row>
    <row r="7899" spans="1:1">
      <c r="A7899" t="str">
        <f t="shared" si="123"/>
        <v/>
      </c>
    </row>
    <row r="7900" spans="1:1">
      <c r="A7900" t="str">
        <f t="shared" si="123"/>
        <v/>
      </c>
    </row>
    <row r="7901" spans="1:1">
      <c r="A7901" t="str">
        <f t="shared" si="123"/>
        <v/>
      </c>
    </row>
    <row r="7902" spans="1:1">
      <c r="A7902" t="str">
        <f t="shared" si="123"/>
        <v/>
      </c>
    </row>
    <row r="7903" spans="1:1">
      <c r="A7903" t="str">
        <f t="shared" si="123"/>
        <v/>
      </c>
    </row>
    <row r="7904" spans="1:1">
      <c r="A7904" t="str">
        <f t="shared" si="123"/>
        <v/>
      </c>
    </row>
    <row r="7905" spans="1:1">
      <c r="A7905" t="str">
        <f t="shared" si="123"/>
        <v/>
      </c>
    </row>
    <row r="7906" spans="1:1">
      <c r="A7906" t="str">
        <f t="shared" si="123"/>
        <v/>
      </c>
    </row>
    <row r="7907" spans="1:1">
      <c r="A7907" t="str">
        <f t="shared" si="123"/>
        <v/>
      </c>
    </row>
    <row r="7908" spans="1:1">
      <c r="A7908" t="str">
        <f t="shared" si="123"/>
        <v/>
      </c>
    </row>
    <row r="7909" spans="1:1">
      <c r="A7909" t="str">
        <f t="shared" si="123"/>
        <v/>
      </c>
    </row>
    <row r="7910" spans="1:1">
      <c r="A7910" t="str">
        <f t="shared" si="123"/>
        <v/>
      </c>
    </row>
    <row r="7911" spans="1:1">
      <c r="A7911" t="str">
        <f t="shared" si="123"/>
        <v/>
      </c>
    </row>
    <row r="7912" spans="1:1">
      <c r="A7912" t="str">
        <f t="shared" si="123"/>
        <v/>
      </c>
    </row>
    <row r="7913" spans="1:1">
      <c r="A7913" t="str">
        <f t="shared" si="123"/>
        <v/>
      </c>
    </row>
    <row r="7914" spans="1:1">
      <c r="A7914" t="str">
        <f t="shared" si="123"/>
        <v/>
      </c>
    </row>
    <row r="7915" spans="1:1">
      <c r="A7915" t="str">
        <f t="shared" si="123"/>
        <v/>
      </c>
    </row>
    <row r="7916" spans="1:1">
      <c r="A7916" t="str">
        <f t="shared" si="123"/>
        <v/>
      </c>
    </row>
    <row r="7917" spans="1:1">
      <c r="A7917" t="str">
        <f t="shared" si="123"/>
        <v/>
      </c>
    </row>
    <row r="7918" spans="1:1">
      <c r="A7918" t="str">
        <f t="shared" si="123"/>
        <v/>
      </c>
    </row>
    <row r="7919" spans="1:1">
      <c r="A7919" t="str">
        <f t="shared" si="123"/>
        <v/>
      </c>
    </row>
    <row r="7920" spans="1:1">
      <c r="A7920" t="str">
        <f t="shared" si="123"/>
        <v/>
      </c>
    </row>
    <row r="7921" spans="1:1">
      <c r="A7921" t="str">
        <f t="shared" si="123"/>
        <v/>
      </c>
    </row>
    <row r="7922" spans="1:1">
      <c r="A7922" t="str">
        <f t="shared" si="123"/>
        <v/>
      </c>
    </row>
    <row r="7923" spans="1:1">
      <c r="A7923" t="str">
        <f t="shared" si="123"/>
        <v/>
      </c>
    </row>
    <row r="7924" spans="1:1">
      <c r="A7924" t="str">
        <f t="shared" si="123"/>
        <v/>
      </c>
    </row>
    <row r="7925" spans="1:1">
      <c r="A7925" t="str">
        <f t="shared" si="123"/>
        <v/>
      </c>
    </row>
    <row r="7926" spans="1:1">
      <c r="A7926" t="str">
        <f t="shared" si="123"/>
        <v/>
      </c>
    </row>
    <row r="7927" spans="1:1">
      <c r="A7927" t="str">
        <f t="shared" si="123"/>
        <v/>
      </c>
    </row>
    <row r="7928" spans="1:1">
      <c r="A7928" t="str">
        <f t="shared" si="123"/>
        <v/>
      </c>
    </row>
    <row r="7929" spans="1:1">
      <c r="A7929" t="str">
        <f t="shared" si="123"/>
        <v/>
      </c>
    </row>
    <row r="7930" spans="1:1">
      <c r="A7930" t="str">
        <f t="shared" si="123"/>
        <v/>
      </c>
    </row>
    <row r="7931" spans="1:1">
      <c r="A7931" t="str">
        <f t="shared" si="123"/>
        <v/>
      </c>
    </row>
    <row r="7932" spans="1:1">
      <c r="A7932" t="str">
        <f t="shared" si="123"/>
        <v/>
      </c>
    </row>
    <row r="7933" spans="1:1">
      <c r="A7933" t="str">
        <f t="shared" si="123"/>
        <v/>
      </c>
    </row>
    <row r="7934" spans="1:1">
      <c r="A7934" t="str">
        <f t="shared" si="123"/>
        <v/>
      </c>
    </row>
    <row r="7935" spans="1:1">
      <c r="A7935" t="str">
        <f t="shared" si="123"/>
        <v/>
      </c>
    </row>
    <row r="7936" spans="1:1">
      <c r="A7936" t="str">
        <f t="shared" ref="A7936:A7999" si="124">CONCATENATE(I7936, B7936)</f>
        <v/>
      </c>
    </row>
    <row r="7937" spans="1:1">
      <c r="A7937" t="str">
        <f t="shared" si="124"/>
        <v/>
      </c>
    </row>
    <row r="7938" spans="1:1">
      <c r="A7938" t="str">
        <f t="shared" si="124"/>
        <v/>
      </c>
    </row>
    <row r="7939" spans="1:1">
      <c r="A7939" t="str">
        <f t="shared" si="124"/>
        <v/>
      </c>
    </row>
    <row r="7940" spans="1:1">
      <c r="A7940" t="str">
        <f t="shared" si="124"/>
        <v/>
      </c>
    </row>
    <row r="7941" spans="1:1">
      <c r="A7941" t="str">
        <f t="shared" si="124"/>
        <v/>
      </c>
    </row>
    <row r="7942" spans="1:1">
      <c r="A7942" t="str">
        <f t="shared" si="124"/>
        <v/>
      </c>
    </row>
    <row r="7943" spans="1:1">
      <c r="A7943" t="str">
        <f t="shared" si="124"/>
        <v/>
      </c>
    </row>
    <row r="7944" spans="1:1">
      <c r="A7944" t="str">
        <f t="shared" si="124"/>
        <v/>
      </c>
    </row>
    <row r="7945" spans="1:1">
      <c r="A7945" t="str">
        <f t="shared" si="124"/>
        <v/>
      </c>
    </row>
    <row r="7946" spans="1:1">
      <c r="A7946" t="str">
        <f t="shared" si="124"/>
        <v/>
      </c>
    </row>
    <row r="7947" spans="1:1">
      <c r="A7947" t="str">
        <f t="shared" si="124"/>
        <v/>
      </c>
    </row>
    <row r="7948" spans="1:1">
      <c r="A7948" t="str">
        <f t="shared" si="124"/>
        <v/>
      </c>
    </row>
    <row r="7949" spans="1:1">
      <c r="A7949" t="str">
        <f t="shared" si="124"/>
        <v/>
      </c>
    </row>
    <row r="7950" spans="1:1">
      <c r="A7950" t="str">
        <f t="shared" si="124"/>
        <v/>
      </c>
    </row>
    <row r="7951" spans="1:1">
      <c r="A7951" t="str">
        <f t="shared" si="124"/>
        <v/>
      </c>
    </row>
    <row r="7952" spans="1:1">
      <c r="A7952" t="str">
        <f t="shared" si="124"/>
        <v/>
      </c>
    </row>
    <row r="7953" spans="1:1">
      <c r="A7953" t="str">
        <f t="shared" si="124"/>
        <v/>
      </c>
    </row>
    <row r="7954" spans="1:1">
      <c r="A7954" t="str">
        <f t="shared" si="124"/>
        <v/>
      </c>
    </row>
    <row r="7955" spans="1:1">
      <c r="A7955" t="str">
        <f t="shared" si="124"/>
        <v/>
      </c>
    </row>
    <row r="7956" spans="1:1">
      <c r="A7956" t="str">
        <f t="shared" si="124"/>
        <v/>
      </c>
    </row>
    <row r="7957" spans="1:1">
      <c r="A7957" t="str">
        <f t="shared" si="124"/>
        <v/>
      </c>
    </row>
    <row r="7958" spans="1:1">
      <c r="A7958" t="str">
        <f t="shared" si="124"/>
        <v/>
      </c>
    </row>
    <row r="7959" spans="1:1">
      <c r="A7959" t="str">
        <f t="shared" si="124"/>
        <v/>
      </c>
    </row>
    <row r="7960" spans="1:1">
      <c r="A7960" t="str">
        <f t="shared" si="124"/>
        <v/>
      </c>
    </row>
    <row r="7961" spans="1:1">
      <c r="A7961" t="str">
        <f t="shared" si="124"/>
        <v/>
      </c>
    </row>
    <row r="7962" spans="1:1">
      <c r="A7962" t="str">
        <f t="shared" si="124"/>
        <v/>
      </c>
    </row>
    <row r="7963" spans="1:1">
      <c r="A7963" t="str">
        <f t="shared" si="124"/>
        <v/>
      </c>
    </row>
    <row r="7964" spans="1:1">
      <c r="A7964" t="str">
        <f t="shared" si="124"/>
        <v/>
      </c>
    </row>
    <row r="7965" spans="1:1">
      <c r="A7965" t="str">
        <f t="shared" si="124"/>
        <v/>
      </c>
    </row>
    <row r="7966" spans="1:1">
      <c r="A7966" t="str">
        <f t="shared" si="124"/>
        <v/>
      </c>
    </row>
    <row r="7967" spans="1:1">
      <c r="A7967" t="str">
        <f t="shared" si="124"/>
        <v/>
      </c>
    </row>
    <row r="7968" spans="1:1">
      <c r="A7968" t="str">
        <f t="shared" si="124"/>
        <v/>
      </c>
    </row>
    <row r="7969" spans="1:1">
      <c r="A7969" t="str">
        <f t="shared" si="124"/>
        <v/>
      </c>
    </row>
    <row r="7970" spans="1:1">
      <c r="A7970" t="str">
        <f t="shared" si="124"/>
        <v/>
      </c>
    </row>
    <row r="7971" spans="1:1">
      <c r="A7971" t="str">
        <f t="shared" si="124"/>
        <v/>
      </c>
    </row>
    <row r="7972" spans="1:1">
      <c r="A7972" t="str">
        <f t="shared" si="124"/>
        <v/>
      </c>
    </row>
    <row r="7973" spans="1:1">
      <c r="A7973" t="str">
        <f t="shared" si="124"/>
        <v/>
      </c>
    </row>
    <row r="7974" spans="1:1">
      <c r="A7974" t="str">
        <f t="shared" si="124"/>
        <v/>
      </c>
    </row>
    <row r="7975" spans="1:1">
      <c r="A7975" t="str">
        <f t="shared" si="124"/>
        <v/>
      </c>
    </row>
    <row r="7976" spans="1:1">
      <c r="A7976" t="str">
        <f t="shared" si="124"/>
        <v/>
      </c>
    </row>
    <row r="7977" spans="1:1">
      <c r="A7977" t="str">
        <f t="shared" si="124"/>
        <v/>
      </c>
    </row>
    <row r="7978" spans="1:1">
      <c r="A7978" t="str">
        <f t="shared" si="124"/>
        <v/>
      </c>
    </row>
    <row r="7979" spans="1:1">
      <c r="A7979" t="str">
        <f t="shared" si="124"/>
        <v/>
      </c>
    </row>
    <row r="7980" spans="1:1">
      <c r="A7980" t="str">
        <f t="shared" si="124"/>
        <v/>
      </c>
    </row>
    <row r="7981" spans="1:1">
      <c r="A7981" t="str">
        <f t="shared" si="124"/>
        <v/>
      </c>
    </row>
    <row r="7982" spans="1:1">
      <c r="A7982" t="str">
        <f t="shared" si="124"/>
        <v/>
      </c>
    </row>
    <row r="7983" spans="1:1">
      <c r="A7983" t="str">
        <f t="shared" si="124"/>
        <v/>
      </c>
    </row>
    <row r="7984" spans="1:1">
      <c r="A7984" t="str">
        <f t="shared" si="124"/>
        <v/>
      </c>
    </row>
    <row r="7985" spans="1:1">
      <c r="A7985" t="str">
        <f t="shared" si="124"/>
        <v/>
      </c>
    </row>
    <row r="7986" spans="1:1">
      <c r="A7986" t="str">
        <f t="shared" si="124"/>
        <v/>
      </c>
    </row>
    <row r="7987" spans="1:1">
      <c r="A7987" t="str">
        <f t="shared" si="124"/>
        <v/>
      </c>
    </row>
    <row r="7988" spans="1:1">
      <c r="A7988" t="str">
        <f t="shared" si="124"/>
        <v/>
      </c>
    </row>
    <row r="7989" spans="1:1">
      <c r="A7989" t="str">
        <f t="shared" si="124"/>
        <v/>
      </c>
    </row>
    <row r="7990" spans="1:1">
      <c r="A7990" t="str">
        <f t="shared" si="124"/>
        <v/>
      </c>
    </row>
    <row r="7991" spans="1:1">
      <c r="A7991" t="str">
        <f t="shared" si="124"/>
        <v/>
      </c>
    </row>
    <row r="7992" spans="1:1">
      <c r="A7992" t="str">
        <f t="shared" si="124"/>
        <v/>
      </c>
    </row>
    <row r="7993" spans="1:1">
      <c r="A7993" t="str">
        <f t="shared" si="124"/>
        <v/>
      </c>
    </row>
    <row r="7994" spans="1:1">
      <c r="A7994" t="str">
        <f t="shared" si="124"/>
        <v/>
      </c>
    </row>
    <row r="7995" spans="1:1">
      <c r="A7995" t="str">
        <f t="shared" si="124"/>
        <v/>
      </c>
    </row>
    <row r="7996" spans="1:1">
      <c r="A7996" t="str">
        <f t="shared" si="124"/>
        <v/>
      </c>
    </row>
    <row r="7997" spans="1:1">
      <c r="A7997" t="str">
        <f t="shared" si="124"/>
        <v/>
      </c>
    </row>
    <row r="7998" spans="1:1">
      <c r="A7998" t="str">
        <f t="shared" si="124"/>
        <v/>
      </c>
    </row>
    <row r="7999" spans="1:1">
      <c r="A7999" t="str">
        <f t="shared" si="124"/>
        <v/>
      </c>
    </row>
    <row r="8000" spans="1:1">
      <c r="A8000" t="str">
        <f t="shared" ref="A8000:A8063" si="125">CONCATENATE(I8000, B8000)</f>
        <v/>
      </c>
    </row>
    <row r="8001" spans="1:1">
      <c r="A8001" t="str">
        <f t="shared" si="125"/>
        <v/>
      </c>
    </row>
    <row r="8002" spans="1:1">
      <c r="A8002" t="str">
        <f t="shared" si="125"/>
        <v/>
      </c>
    </row>
    <row r="8003" spans="1:1">
      <c r="A8003" t="str">
        <f t="shared" si="125"/>
        <v/>
      </c>
    </row>
    <row r="8004" spans="1:1">
      <c r="A8004" t="str">
        <f t="shared" si="125"/>
        <v/>
      </c>
    </row>
    <row r="8005" spans="1:1">
      <c r="A8005" t="str">
        <f t="shared" si="125"/>
        <v/>
      </c>
    </row>
    <row r="8006" spans="1:1">
      <c r="A8006" t="str">
        <f t="shared" si="125"/>
        <v/>
      </c>
    </row>
    <row r="8007" spans="1:1">
      <c r="A8007" t="str">
        <f t="shared" si="125"/>
        <v/>
      </c>
    </row>
    <row r="8008" spans="1:1">
      <c r="A8008" t="str">
        <f t="shared" si="125"/>
        <v/>
      </c>
    </row>
    <row r="8009" spans="1:1">
      <c r="A8009" t="str">
        <f t="shared" si="125"/>
        <v/>
      </c>
    </row>
    <row r="8010" spans="1:1">
      <c r="A8010" t="str">
        <f t="shared" si="125"/>
        <v/>
      </c>
    </row>
    <row r="8011" spans="1:1">
      <c r="A8011" t="str">
        <f t="shared" si="125"/>
        <v/>
      </c>
    </row>
    <row r="8012" spans="1:1">
      <c r="A8012" t="str">
        <f t="shared" si="125"/>
        <v/>
      </c>
    </row>
    <row r="8013" spans="1:1">
      <c r="A8013" t="str">
        <f t="shared" si="125"/>
        <v/>
      </c>
    </row>
    <row r="8014" spans="1:1">
      <c r="A8014" t="str">
        <f t="shared" si="125"/>
        <v/>
      </c>
    </row>
    <row r="8015" spans="1:1">
      <c r="A8015" t="str">
        <f t="shared" si="125"/>
        <v/>
      </c>
    </row>
    <row r="8016" spans="1:1">
      <c r="A8016" t="str">
        <f t="shared" si="125"/>
        <v/>
      </c>
    </row>
    <row r="8017" spans="1:1">
      <c r="A8017" t="str">
        <f t="shared" si="125"/>
        <v/>
      </c>
    </row>
    <row r="8018" spans="1:1">
      <c r="A8018" t="str">
        <f t="shared" si="125"/>
        <v/>
      </c>
    </row>
    <row r="8019" spans="1:1">
      <c r="A8019" t="str">
        <f t="shared" si="125"/>
        <v/>
      </c>
    </row>
    <row r="8020" spans="1:1">
      <c r="A8020" t="str">
        <f t="shared" si="125"/>
        <v/>
      </c>
    </row>
    <row r="8021" spans="1:1">
      <c r="A8021" t="str">
        <f t="shared" si="125"/>
        <v/>
      </c>
    </row>
    <row r="8022" spans="1:1">
      <c r="A8022" t="str">
        <f t="shared" si="125"/>
        <v/>
      </c>
    </row>
    <row r="8023" spans="1:1">
      <c r="A8023" t="str">
        <f t="shared" si="125"/>
        <v/>
      </c>
    </row>
    <row r="8024" spans="1:1">
      <c r="A8024" t="str">
        <f t="shared" si="125"/>
        <v/>
      </c>
    </row>
    <row r="8025" spans="1:1">
      <c r="A8025" t="str">
        <f t="shared" si="125"/>
        <v/>
      </c>
    </row>
    <row r="8026" spans="1:1">
      <c r="A8026" t="str">
        <f t="shared" si="125"/>
        <v/>
      </c>
    </row>
    <row r="8027" spans="1:1">
      <c r="A8027" t="str">
        <f t="shared" si="125"/>
        <v/>
      </c>
    </row>
    <row r="8028" spans="1:1">
      <c r="A8028" t="str">
        <f t="shared" si="125"/>
        <v/>
      </c>
    </row>
    <row r="8029" spans="1:1">
      <c r="A8029" t="str">
        <f t="shared" si="125"/>
        <v/>
      </c>
    </row>
    <row r="8030" spans="1:1">
      <c r="A8030" t="str">
        <f t="shared" si="125"/>
        <v/>
      </c>
    </row>
    <row r="8031" spans="1:1">
      <c r="A8031" t="str">
        <f t="shared" si="125"/>
        <v/>
      </c>
    </row>
    <row r="8032" spans="1:1">
      <c r="A8032" t="str">
        <f t="shared" si="125"/>
        <v/>
      </c>
    </row>
    <row r="8033" spans="1:1">
      <c r="A8033" t="str">
        <f t="shared" si="125"/>
        <v/>
      </c>
    </row>
    <row r="8034" spans="1:1">
      <c r="A8034" t="str">
        <f t="shared" si="125"/>
        <v/>
      </c>
    </row>
    <row r="8035" spans="1:1">
      <c r="A8035" t="str">
        <f t="shared" si="125"/>
        <v/>
      </c>
    </row>
    <row r="8036" spans="1:1">
      <c r="A8036" t="str">
        <f t="shared" si="125"/>
        <v/>
      </c>
    </row>
    <row r="8037" spans="1:1">
      <c r="A8037" t="str">
        <f t="shared" si="125"/>
        <v/>
      </c>
    </row>
    <row r="8038" spans="1:1">
      <c r="A8038" t="str">
        <f t="shared" si="125"/>
        <v/>
      </c>
    </row>
    <row r="8039" spans="1:1">
      <c r="A8039" t="str">
        <f t="shared" si="125"/>
        <v/>
      </c>
    </row>
    <row r="8040" spans="1:1">
      <c r="A8040" t="str">
        <f t="shared" si="125"/>
        <v/>
      </c>
    </row>
    <row r="8041" spans="1:1">
      <c r="A8041" t="str">
        <f t="shared" si="125"/>
        <v/>
      </c>
    </row>
    <row r="8042" spans="1:1">
      <c r="A8042" t="str">
        <f t="shared" si="125"/>
        <v/>
      </c>
    </row>
    <row r="8043" spans="1:1">
      <c r="A8043" t="str">
        <f t="shared" si="125"/>
        <v/>
      </c>
    </row>
    <row r="8044" spans="1:1">
      <c r="A8044" t="str">
        <f t="shared" si="125"/>
        <v/>
      </c>
    </row>
    <row r="8045" spans="1:1">
      <c r="A8045" t="str">
        <f t="shared" si="125"/>
        <v/>
      </c>
    </row>
    <row r="8046" spans="1:1">
      <c r="A8046" t="str">
        <f t="shared" si="125"/>
        <v/>
      </c>
    </row>
    <row r="8047" spans="1:1">
      <c r="A8047" t="str">
        <f t="shared" si="125"/>
        <v/>
      </c>
    </row>
    <row r="8048" spans="1:1">
      <c r="A8048" t="str">
        <f t="shared" si="125"/>
        <v/>
      </c>
    </row>
    <row r="8049" spans="1:1">
      <c r="A8049" t="str">
        <f t="shared" si="125"/>
        <v/>
      </c>
    </row>
    <row r="8050" spans="1:1">
      <c r="A8050" t="str">
        <f t="shared" si="125"/>
        <v/>
      </c>
    </row>
    <row r="8051" spans="1:1">
      <c r="A8051" t="str">
        <f t="shared" si="125"/>
        <v/>
      </c>
    </row>
    <row r="8052" spans="1:1">
      <c r="A8052" t="str">
        <f t="shared" si="125"/>
        <v/>
      </c>
    </row>
    <row r="8053" spans="1:1">
      <c r="A8053" t="str">
        <f t="shared" si="125"/>
        <v/>
      </c>
    </row>
    <row r="8054" spans="1:1">
      <c r="A8054" t="str">
        <f t="shared" si="125"/>
        <v/>
      </c>
    </row>
    <row r="8055" spans="1:1">
      <c r="A8055" t="str">
        <f t="shared" si="125"/>
        <v/>
      </c>
    </row>
    <row r="8056" spans="1:1">
      <c r="A8056" t="str">
        <f t="shared" si="125"/>
        <v/>
      </c>
    </row>
    <row r="8057" spans="1:1">
      <c r="A8057" t="str">
        <f t="shared" si="125"/>
        <v/>
      </c>
    </row>
    <row r="8058" spans="1:1">
      <c r="A8058" t="str">
        <f t="shared" si="125"/>
        <v/>
      </c>
    </row>
    <row r="8059" spans="1:1">
      <c r="A8059" t="str">
        <f t="shared" si="125"/>
        <v/>
      </c>
    </row>
    <row r="8060" spans="1:1">
      <c r="A8060" t="str">
        <f t="shared" si="125"/>
        <v/>
      </c>
    </row>
    <row r="8061" spans="1:1">
      <c r="A8061" t="str">
        <f t="shared" si="125"/>
        <v/>
      </c>
    </row>
    <row r="8062" spans="1:1">
      <c r="A8062" t="str">
        <f t="shared" si="125"/>
        <v/>
      </c>
    </row>
    <row r="8063" spans="1:1">
      <c r="A8063" t="str">
        <f t="shared" si="125"/>
        <v/>
      </c>
    </row>
    <row r="8064" spans="1:1">
      <c r="A8064" t="str">
        <f t="shared" ref="A8064:A8127" si="126">CONCATENATE(I8064, B8064)</f>
        <v/>
      </c>
    </row>
    <row r="8065" spans="1:1">
      <c r="A8065" t="str">
        <f t="shared" si="126"/>
        <v/>
      </c>
    </row>
    <row r="8066" spans="1:1">
      <c r="A8066" t="str">
        <f t="shared" si="126"/>
        <v/>
      </c>
    </row>
    <row r="8067" spans="1:1">
      <c r="A8067" t="str">
        <f t="shared" si="126"/>
        <v/>
      </c>
    </row>
    <row r="8068" spans="1:1">
      <c r="A8068" t="str">
        <f t="shared" si="126"/>
        <v/>
      </c>
    </row>
    <row r="8069" spans="1:1">
      <c r="A8069" t="str">
        <f t="shared" si="126"/>
        <v/>
      </c>
    </row>
    <row r="8070" spans="1:1">
      <c r="A8070" t="str">
        <f t="shared" si="126"/>
        <v/>
      </c>
    </row>
    <row r="8071" spans="1:1">
      <c r="A8071" t="str">
        <f t="shared" si="126"/>
        <v/>
      </c>
    </row>
    <row r="8072" spans="1:1">
      <c r="A8072" t="str">
        <f t="shared" si="126"/>
        <v/>
      </c>
    </row>
    <row r="8073" spans="1:1">
      <c r="A8073" t="str">
        <f t="shared" si="126"/>
        <v/>
      </c>
    </row>
    <row r="8074" spans="1:1">
      <c r="A8074" t="str">
        <f t="shared" si="126"/>
        <v/>
      </c>
    </row>
    <row r="8075" spans="1:1">
      <c r="A8075" t="str">
        <f t="shared" si="126"/>
        <v/>
      </c>
    </row>
    <row r="8076" spans="1:1">
      <c r="A8076" t="str">
        <f t="shared" si="126"/>
        <v/>
      </c>
    </row>
    <row r="8077" spans="1:1">
      <c r="A8077" t="str">
        <f t="shared" si="126"/>
        <v/>
      </c>
    </row>
    <row r="8078" spans="1:1">
      <c r="A8078" t="str">
        <f t="shared" si="126"/>
        <v/>
      </c>
    </row>
    <row r="8079" spans="1:1">
      <c r="A8079" t="str">
        <f t="shared" si="126"/>
        <v/>
      </c>
    </row>
    <row r="8080" spans="1:1">
      <c r="A8080" t="str">
        <f t="shared" si="126"/>
        <v/>
      </c>
    </row>
    <row r="8081" spans="1:1">
      <c r="A8081" t="str">
        <f t="shared" si="126"/>
        <v/>
      </c>
    </row>
    <row r="8082" spans="1:1">
      <c r="A8082" t="str">
        <f t="shared" si="126"/>
        <v/>
      </c>
    </row>
    <row r="8083" spans="1:1">
      <c r="A8083" t="str">
        <f t="shared" si="126"/>
        <v/>
      </c>
    </row>
    <row r="8084" spans="1:1">
      <c r="A8084" t="str">
        <f t="shared" si="126"/>
        <v/>
      </c>
    </row>
    <row r="8085" spans="1:1">
      <c r="A8085" t="str">
        <f t="shared" si="126"/>
        <v/>
      </c>
    </row>
    <row r="8086" spans="1:1">
      <c r="A8086" t="str">
        <f t="shared" si="126"/>
        <v/>
      </c>
    </row>
    <row r="8087" spans="1:1">
      <c r="A8087" t="str">
        <f t="shared" si="126"/>
        <v/>
      </c>
    </row>
    <row r="8088" spans="1:1">
      <c r="A8088" t="str">
        <f t="shared" si="126"/>
        <v/>
      </c>
    </row>
    <row r="8089" spans="1:1">
      <c r="A8089" t="str">
        <f t="shared" si="126"/>
        <v/>
      </c>
    </row>
    <row r="8090" spans="1:1">
      <c r="A8090" t="str">
        <f t="shared" si="126"/>
        <v/>
      </c>
    </row>
    <row r="8091" spans="1:1">
      <c r="A8091" t="str">
        <f t="shared" si="126"/>
        <v/>
      </c>
    </row>
    <row r="8092" spans="1:1">
      <c r="A8092" t="str">
        <f t="shared" si="126"/>
        <v/>
      </c>
    </row>
    <row r="8093" spans="1:1">
      <c r="A8093" t="str">
        <f t="shared" si="126"/>
        <v/>
      </c>
    </row>
    <row r="8094" spans="1:1">
      <c r="A8094" t="str">
        <f t="shared" si="126"/>
        <v/>
      </c>
    </row>
    <row r="8095" spans="1:1">
      <c r="A8095" t="str">
        <f t="shared" si="126"/>
        <v/>
      </c>
    </row>
    <row r="8096" spans="1:1">
      <c r="A8096" t="str">
        <f t="shared" si="126"/>
        <v/>
      </c>
    </row>
    <row r="8097" spans="1:1">
      <c r="A8097" t="str">
        <f t="shared" si="126"/>
        <v/>
      </c>
    </row>
    <row r="8098" spans="1:1">
      <c r="A8098" t="str">
        <f t="shared" si="126"/>
        <v/>
      </c>
    </row>
    <row r="8099" spans="1:1">
      <c r="A8099" t="str">
        <f t="shared" si="126"/>
        <v/>
      </c>
    </row>
    <row r="8100" spans="1:1">
      <c r="A8100" t="str">
        <f t="shared" si="126"/>
        <v/>
      </c>
    </row>
    <row r="8101" spans="1:1">
      <c r="A8101" t="str">
        <f t="shared" si="126"/>
        <v/>
      </c>
    </row>
    <row r="8102" spans="1:1">
      <c r="A8102" t="str">
        <f t="shared" si="126"/>
        <v/>
      </c>
    </row>
    <row r="8103" spans="1:1">
      <c r="A8103" t="str">
        <f t="shared" si="126"/>
        <v/>
      </c>
    </row>
    <row r="8104" spans="1:1">
      <c r="A8104" t="str">
        <f t="shared" si="126"/>
        <v/>
      </c>
    </row>
    <row r="8105" spans="1:1">
      <c r="A8105" t="str">
        <f t="shared" si="126"/>
        <v/>
      </c>
    </row>
    <row r="8106" spans="1:1">
      <c r="A8106" t="str">
        <f t="shared" si="126"/>
        <v/>
      </c>
    </row>
    <row r="8107" spans="1:1">
      <c r="A8107" t="str">
        <f t="shared" si="126"/>
        <v/>
      </c>
    </row>
    <row r="8108" spans="1:1">
      <c r="A8108" t="str">
        <f t="shared" si="126"/>
        <v/>
      </c>
    </row>
    <row r="8109" spans="1:1">
      <c r="A8109" t="str">
        <f t="shared" si="126"/>
        <v/>
      </c>
    </row>
    <row r="8110" spans="1:1">
      <c r="A8110" t="str">
        <f t="shared" si="126"/>
        <v/>
      </c>
    </row>
    <row r="8111" spans="1:1">
      <c r="A8111" t="str">
        <f t="shared" si="126"/>
        <v/>
      </c>
    </row>
    <row r="8112" spans="1:1">
      <c r="A8112" t="str">
        <f t="shared" si="126"/>
        <v/>
      </c>
    </row>
    <row r="8113" spans="1:1">
      <c r="A8113" t="str">
        <f t="shared" si="126"/>
        <v/>
      </c>
    </row>
    <row r="8114" spans="1:1">
      <c r="A8114" t="str">
        <f t="shared" si="126"/>
        <v/>
      </c>
    </row>
    <row r="8115" spans="1:1">
      <c r="A8115" t="str">
        <f t="shared" si="126"/>
        <v/>
      </c>
    </row>
    <row r="8116" spans="1:1">
      <c r="A8116" t="str">
        <f t="shared" si="126"/>
        <v/>
      </c>
    </row>
    <row r="8117" spans="1:1">
      <c r="A8117" t="str">
        <f t="shared" si="126"/>
        <v/>
      </c>
    </row>
    <row r="8118" spans="1:1">
      <c r="A8118" t="str">
        <f t="shared" si="126"/>
        <v/>
      </c>
    </row>
    <row r="8119" spans="1:1">
      <c r="A8119" t="str">
        <f t="shared" si="126"/>
        <v/>
      </c>
    </row>
    <row r="8120" spans="1:1">
      <c r="A8120" t="str">
        <f t="shared" si="126"/>
        <v/>
      </c>
    </row>
    <row r="8121" spans="1:1">
      <c r="A8121" t="str">
        <f t="shared" si="126"/>
        <v/>
      </c>
    </row>
    <row r="8122" spans="1:1">
      <c r="A8122" t="str">
        <f t="shared" si="126"/>
        <v/>
      </c>
    </row>
    <row r="8123" spans="1:1">
      <c r="A8123" t="str">
        <f t="shared" si="126"/>
        <v/>
      </c>
    </row>
    <row r="8124" spans="1:1">
      <c r="A8124" t="str">
        <f t="shared" si="126"/>
        <v/>
      </c>
    </row>
    <row r="8125" spans="1:1">
      <c r="A8125" t="str">
        <f t="shared" si="126"/>
        <v/>
      </c>
    </row>
    <row r="8126" spans="1:1">
      <c r="A8126" t="str">
        <f t="shared" si="126"/>
        <v/>
      </c>
    </row>
    <row r="8127" spans="1:1">
      <c r="A8127" t="str">
        <f t="shared" si="126"/>
        <v/>
      </c>
    </row>
    <row r="8128" spans="1:1">
      <c r="A8128" t="str">
        <f t="shared" ref="A8128:A8191" si="127">CONCATENATE(I8128, B8128)</f>
        <v/>
      </c>
    </row>
    <row r="8129" spans="1:1">
      <c r="A8129" t="str">
        <f t="shared" si="127"/>
        <v/>
      </c>
    </row>
    <row r="8130" spans="1:1">
      <c r="A8130" t="str">
        <f t="shared" si="127"/>
        <v/>
      </c>
    </row>
    <row r="8131" spans="1:1">
      <c r="A8131" t="str">
        <f t="shared" si="127"/>
        <v/>
      </c>
    </row>
    <row r="8132" spans="1:1">
      <c r="A8132" t="str">
        <f t="shared" si="127"/>
        <v/>
      </c>
    </row>
    <row r="8133" spans="1:1">
      <c r="A8133" t="str">
        <f t="shared" si="127"/>
        <v/>
      </c>
    </row>
    <row r="8134" spans="1:1">
      <c r="A8134" t="str">
        <f t="shared" si="127"/>
        <v/>
      </c>
    </row>
    <row r="8135" spans="1:1">
      <c r="A8135" t="str">
        <f t="shared" si="127"/>
        <v/>
      </c>
    </row>
    <row r="8136" spans="1:1">
      <c r="A8136" t="str">
        <f t="shared" si="127"/>
        <v/>
      </c>
    </row>
    <row r="8137" spans="1:1">
      <c r="A8137" t="str">
        <f t="shared" si="127"/>
        <v/>
      </c>
    </row>
    <row r="8138" spans="1:1">
      <c r="A8138" t="str">
        <f t="shared" si="127"/>
        <v/>
      </c>
    </row>
    <row r="8139" spans="1:1">
      <c r="A8139" t="str">
        <f t="shared" si="127"/>
        <v/>
      </c>
    </row>
    <row r="8140" spans="1:1">
      <c r="A8140" t="str">
        <f t="shared" si="127"/>
        <v/>
      </c>
    </row>
    <row r="8141" spans="1:1">
      <c r="A8141" t="str">
        <f t="shared" si="127"/>
        <v/>
      </c>
    </row>
    <row r="8142" spans="1:1">
      <c r="A8142" t="str">
        <f t="shared" si="127"/>
        <v/>
      </c>
    </row>
    <row r="8143" spans="1:1">
      <c r="A8143" t="str">
        <f t="shared" si="127"/>
        <v/>
      </c>
    </row>
    <row r="8144" spans="1:1">
      <c r="A8144" t="str">
        <f t="shared" si="127"/>
        <v/>
      </c>
    </row>
    <row r="8145" spans="1:1">
      <c r="A8145" t="str">
        <f t="shared" si="127"/>
        <v/>
      </c>
    </row>
    <row r="8146" spans="1:1">
      <c r="A8146" t="str">
        <f t="shared" si="127"/>
        <v/>
      </c>
    </row>
    <row r="8147" spans="1:1">
      <c r="A8147" t="str">
        <f t="shared" si="127"/>
        <v/>
      </c>
    </row>
    <row r="8148" spans="1:1">
      <c r="A8148" t="str">
        <f t="shared" si="127"/>
        <v/>
      </c>
    </row>
    <row r="8149" spans="1:1">
      <c r="A8149" t="str">
        <f t="shared" si="127"/>
        <v/>
      </c>
    </row>
    <row r="8150" spans="1:1">
      <c r="A8150" t="str">
        <f t="shared" si="127"/>
        <v/>
      </c>
    </row>
    <row r="8151" spans="1:1">
      <c r="A8151" t="str">
        <f t="shared" si="127"/>
        <v/>
      </c>
    </row>
    <row r="8152" spans="1:1">
      <c r="A8152" t="str">
        <f t="shared" si="127"/>
        <v/>
      </c>
    </row>
    <row r="8153" spans="1:1">
      <c r="A8153" t="str">
        <f t="shared" si="127"/>
        <v/>
      </c>
    </row>
    <row r="8154" spans="1:1">
      <c r="A8154" t="str">
        <f t="shared" si="127"/>
        <v/>
      </c>
    </row>
    <row r="8155" spans="1:1">
      <c r="A8155" t="str">
        <f t="shared" si="127"/>
        <v/>
      </c>
    </row>
    <row r="8156" spans="1:1">
      <c r="A8156" t="str">
        <f t="shared" si="127"/>
        <v/>
      </c>
    </row>
    <row r="8157" spans="1:1">
      <c r="A8157" t="str">
        <f t="shared" si="127"/>
        <v/>
      </c>
    </row>
    <row r="8158" spans="1:1">
      <c r="A8158" t="str">
        <f t="shared" si="127"/>
        <v/>
      </c>
    </row>
    <row r="8159" spans="1:1">
      <c r="A8159" t="str">
        <f t="shared" si="127"/>
        <v/>
      </c>
    </row>
    <row r="8160" spans="1:1">
      <c r="A8160" t="str">
        <f t="shared" si="127"/>
        <v/>
      </c>
    </row>
    <row r="8161" spans="1:1">
      <c r="A8161" t="str">
        <f t="shared" si="127"/>
        <v/>
      </c>
    </row>
    <row r="8162" spans="1:1">
      <c r="A8162" t="str">
        <f t="shared" si="127"/>
        <v/>
      </c>
    </row>
    <row r="8163" spans="1:1">
      <c r="A8163" t="str">
        <f t="shared" si="127"/>
        <v/>
      </c>
    </row>
    <row r="8164" spans="1:1">
      <c r="A8164" t="str">
        <f t="shared" si="127"/>
        <v/>
      </c>
    </row>
    <row r="8165" spans="1:1">
      <c r="A8165" t="str">
        <f t="shared" si="127"/>
        <v/>
      </c>
    </row>
    <row r="8166" spans="1:1">
      <c r="A8166" t="str">
        <f t="shared" si="127"/>
        <v/>
      </c>
    </row>
    <row r="8167" spans="1:1">
      <c r="A8167" t="str">
        <f t="shared" si="127"/>
        <v/>
      </c>
    </row>
    <row r="8168" spans="1:1">
      <c r="A8168" t="str">
        <f t="shared" si="127"/>
        <v/>
      </c>
    </row>
    <row r="8169" spans="1:1">
      <c r="A8169" t="str">
        <f t="shared" si="127"/>
        <v/>
      </c>
    </row>
    <row r="8170" spans="1:1">
      <c r="A8170" t="str">
        <f t="shared" si="127"/>
        <v/>
      </c>
    </row>
    <row r="8171" spans="1:1">
      <c r="A8171" t="str">
        <f t="shared" si="127"/>
        <v/>
      </c>
    </row>
    <row r="8172" spans="1:1">
      <c r="A8172" t="str">
        <f t="shared" si="127"/>
        <v/>
      </c>
    </row>
    <row r="8173" spans="1:1">
      <c r="A8173" t="str">
        <f t="shared" si="127"/>
        <v/>
      </c>
    </row>
    <row r="8174" spans="1:1">
      <c r="A8174" t="str">
        <f t="shared" si="127"/>
        <v/>
      </c>
    </row>
    <row r="8175" spans="1:1">
      <c r="A8175" t="str">
        <f t="shared" si="127"/>
        <v/>
      </c>
    </row>
    <row r="8176" spans="1:1">
      <c r="A8176" t="str">
        <f t="shared" si="127"/>
        <v/>
      </c>
    </row>
    <row r="8177" spans="1:1">
      <c r="A8177" t="str">
        <f t="shared" si="127"/>
        <v/>
      </c>
    </row>
    <row r="8178" spans="1:1">
      <c r="A8178" t="str">
        <f t="shared" si="127"/>
        <v/>
      </c>
    </row>
    <row r="8179" spans="1:1">
      <c r="A8179" t="str">
        <f t="shared" si="127"/>
        <v/>
      </c>
    </row>
    <row r="8180" spans="1:1">
      <c r="A8180" t="str">
        <f t="shared" si="127"/>
        <v/>
      </c>
    </row>
    <row r="8181" spans="1:1">
      <c r="A8181" t="str">
        <f t="shared" si="127"/>
        <v/>
      </c>
    </row>
    <row r="8182" spans="1:1">
      <c r="A8182" t="str">
        <f t="shared" si="127"/>
        <v/>
      </c>
    </row>
    <row r="8183" spans="1:1">
      <c r="A8183" t="str">
        <f t="shared" si="127"/>
        <v/>
      </c>
    </row>
    <row r="8184" spans="1:1">
      <c r="A8184" t="str">
        <f t="shared" si="127"/>
        <v/>
      </c>
    </row>
    <row r="8185" spans="1:1">
      <c r="A8185" t="str">
        <f t="shared" si="127"/>
        <v/>
      </c>
    </row>
    <row r="8186" spans="1:1">
      <c r="A8186" t="str">
        <f t="shared" si="127"/>
        <v/>
      </c>
    </row>
    <row r="8187" spans="1:1">
      <c r="A8187" t="str">
        <f t="shared" si="127"/>
        <v/>
      </c>
    </row>
    <row r="8188" spans="1:1">
      <c r="A8188" t="str">
        <f t="shared" si="127"/>
        <v/>
      </c>
    </row>
    <row r="8189" spans="1:1">
      <c r="A8189" t="str">
        <f t="shared" si="127"/>
        <v/>
      </c>
    </row>
    <row r="8190" spans="1:1">
      <c r="A8190" t="str">
        <f t="shared" si="127"/>
        <v/>
      </c>
    </row>
    <row r="8191" spans="1:1">
      <c r="A8191" t="str">
        <f t="shared" si="127"/>
        <v/>
      </c>
    </row>
    <row r="8192" spans="1:1">
      <c r="A8192" t="str">
        <f t="shared" ref="A8192:A8255" si="128">CONCATENATE(I8192, B8192)</f>
        <v/>
      </c>
    </row>
    <row r="8193" spans="1:1">
      <c r="A8193" t="str">
        <f t="shared" si="128"/>
        <v/>
      </c>
    </row>
    <row r="8194" spans="1:1">
      <c r="A8194" t="str">
        <f t="shared" si="128"/>
        <v/>
      </c>
    </row>
    <row r="8195" spans="1:1">
      <c r="A8195" t="str">
        <f t="shared" si="128"/>
        <v/>
      </c>
    </row>
    <row r="8196" spans="1:1">
      <c r="A8196" t="str">
        <f t="shared" si="128"/>
        <v/>
      </c>
    </row>
    <row r="8197" spans="1:1">
      <c r="A8197" t="str">
        <f t="shared" si="128"/>
        <v/>
      </c>
    </row>
    <row r="8198" spans="1:1">
      <c r="A8198" t="str">
        <f t="shared" si="128"/>
        <v/>
      </c>
    </row>
    <row r="8199" spans="1:1">
      <c r="A8199" t="str">
        <f t="shared" si="128"/>
        <v/>
      </c>
    </row>
    <row r="8200" spans="1:1">
      <c r="A8200" t="str">
        <f t="shared" si="128"/>
        <v/>
      </c>
    </row>
    <row r="8201" spans="1:1">
      <c r="A8201" t="str">
        <f t="shared" si="128"/>
        <v/>
      </c>
    </row>
    <row r="8202" spans="1:1">
      <c r="A8202" t="str">
        <f t="shared" si="128"/>
        <v/>
      </c>
    </row>
    <row r="8203" spans="1:1">
      <c r="A8203" t="str">
        <f t="shared" si="128"/>
        <v/>
      </c>
    </row>
    <row r="8204" spans="1:1">
      <c r="A8204" t="str">
        <f t="shared" si="128"/>
        <v/>
      </c>
    </row>
    <row r="8205" spans="1:1">
      <c r="A8205" t="str">
        <f t="shared" si="128"/>
        <v/>
      </c>
    </row>
    <row r="8206" spans="1:1">
      <c r="A8206" t="str">
        <f t="shared" si="128"/>
        <v/>
      </c>
    </row>
    <row r="8207" spans="1:1">
      <c r="A8207" t="str">
        <f t="shared" si="128"/>
        <v/>
      </c>
    </row>
    <row r="8208" spans="1:1">
      <c r="A8208" t="str">
        <f t="shared" si="128"/>
        <v/>
      </c>
    </row>
    <row r="8209" spans="1:1">
      <c r="A8209" t="str">
        <f t="shared" si="128"/>
        <v/>
      </c>
    </row>
    <row r="8210" spans="1:1">
      <c r="A8210" t="str">
        <f t="shared" si="128"/>
        <v/>
      </c>
    </row>
    <row r="8211" spans="1:1">
      <c r="A8211" t="str">
        <f t="shared" si="128"/>
        <v/>
      </c>
    </row>
    <row r="8212" spans="1:1">
      <c r="A8212" t="str">
        <f t="shared" si="128"/>
        <v/>
      </c>
    </row>
    <row r="8213" spans="1:1">
      <c r="A8213" t="str">
        <f t="shared" si="128"/>
        <v/>
      </c>
    </row>
    <row r="8214" spans="1:1">
      <c r="A8214" t="str">
        <f t="shared" si="128"/>
        <v/>
      </c>
    </row>
    <row r="8215" spans="1:1">
      <c r="A8215" t="str">
        <f t="shared" si="128"/>
        <v/>
      </c>
    </row>
    <row r="8216" spans="1:1">
      <c r="A8216" t="str">
        <f t="shared" si="128"/>
        <v/>
      </c>
    </row>
    <row r="8217" spans="1:1">
      <c r="A8217" t="str">
        <f t="shared" si="128"/>
        <v/>
      </c>
    </row>
    <row r="8218" spans="1:1">
      <c r="A8218" t="str">
        <f t="shared" si="128"/>
        <v/>
      </c>
    </row>
    <row r="8219" spans="1:1">
      <c r="A8219" t="str">
        <f t="shared" si="128"/>
        <v/>
      </c>
    </row>
    <row r="8220" spans="1:1">
      <c r="A8220" t="str">
        <f t="shared" si="128"/>
        <v/>
      </c>
    </row>
    <row r="8221" spans="1:1">
      <c r="A8221" t="str">
        <f t="shared" si="128"/>
        <v/>
      </c>
    </row>
    <row r="8222" spans="1:1">
      <c r="A8222" t="str">
        <f t="shared" si="128"/>
        <v/>
      </c>
    </row>
    <row r="8223" spans="1:1">
      <c r="A8223" t="str">
        <f t="shared" si="128"/>
        <v/>
      </c>
    </row>
    <row r="8224" spans="1:1">
      <c r="A8224" t="str">
        <f t="shared" si="128"/>
        <v/>
      </c>
    </row>
    <row r="8225" spans="1:1">
      <c r="A8225" t="str">
        <f t="shared" si="128"/>
        <v/>
      </c>
    </row>
    <row r="8226" spans="1:1">
      <c r="A8226" t="str">
        <f t="shared" si="128"/>
        <v/>
      </c>
    </row>
    <row r="8227" spans="1:1">
      <c r="A8227" t="str">
        <f t="shared" si="128"/>
        <v/>
      </c>
    </row>
    <row r="8228" spans="1:1">
      <c r="A8228" t="str">
        <f t="shared" si="128"/>
        <v/>
      </c>
    </row>
    <row r="8229" spans="1:1">
      <c r="A8229" t="str">
        <f t="shared" si="128"/>
        <v/>
      </c>
    </row>
    <row r="8230" spans="1:1">
      <c r="A8230" t="str">
        <f t="shared" si="128"/>
        <v/>
      </c>
    </row>
    <row r="8231" spans="1:1">
      <c r="A8231" t="str">
        <f t="shared" si="128"/>
        <v/>
      </c>
    </row>
    <row r="8232" spans="1:1">
      <c r="A8232" t="str">
        <f t="shared" si="128"/>
        <v/>
      </c>
    </row>
    <row r="8233" spans="1:1">
      <c r="A8233" t="str">
        <f t="shared" si="128"/>
        <v/>
      </c>
    </row>
    <row r="8234" spans="1:1">
      <c r="A8234" t="str">
        <f t="shared" si="128"/>
        <v/>
      </c>
    </row>
    <row r="8235" spans="1:1">
      <c r="A8235" t="str">
        <f t="shared" si="128"/>
        <v/>
      </c>
    </row>
    <row r="8236" spans="1:1">
      <c r="A8236" t="str">
        <f t="shared" si="128"/>
        <v/>
      </c>
    </row>
    <row r="8237" spans="1:1">
      <c r="A8237" t="str">
        <f t="shared" si="128"/>
        <v/>
      </c>
    </row>
    <row r="8238" spans="1:1">
      <c r="A8238" t="str">
        <f t="shared" si="128"/>
        <v/>
      </c>
    </row>
    <row r="8239" spans="1:1">
      <c r="A8239" t="str">
        <f t="shared" si="128"/>
        <v/>
      </c>
    </row>
    <row r="8240" spans="1:1">
      <c r="A8240" t="str">
        <f t="shared" si="128"/>
        <v/>
      </c>
    </row>
    <row r="8241" spans="1:1">
      <c r="A8241" t="str">
        <f t="shared" si="128"/>
        <v/>
      </c>
    </row>
    <row r="8242" spans="1:1">
      <c r="A8242" t="str">
        <f t="shared" si="128"/>
        <v/>
      </c>
    </row>
    <row r="8243" spans="1:1">
      <c r="A8243" t="str">
        <f t="shared" si="128"/>
        <v/>
      </c>
    </row>
    <row r="8244" spans="1:1">
      <c r="A8244" t="str">
        <f t="shared" si="128"/>
        <v/>
      </c>
    </row>
    <row r="8245" spans="1:1">
      <c r="A8245" t="str">
        <f t="shared" si="128"/>
        <v/>
      </c>
    </row>
    <row r="8246" spans="1:1">
      <c r="A8246" t="str">
        <f t="shared" si="128"/>
        <v/>
      </c>
    </row>
    <row r="8247" spans="1:1">
      <c r="A8247" t="str">
        <f t="shared" si="128"/>
        <v/>
      </c>
    </row>
    <row r="8248" spans="1:1">
      <c r="A8248" t="str">
        <f t="shared" si="128"/>
        <v/>
      </c>
    </row>
    <row r="8249" spans="1:1">
      <c r="A8249" t="str">
        <f t="shared" si="128"/>
        <v/>
      </c>
    </row>
    <row r="8250" spans="1:1">
      <c r="A8250" t="str">
        <f t="shared" si="128"/>
        <v/>
      </c>
    </row>
    <row r="8251" spans="1:1">
      <c r="A8251" t="str">
        <f t="shared" si="128"/>
        <v/>
      </c>
    </row>
    <row r="8252" spans="1:1">
      <c r="A8252" t="str">
        <f t="shared" si="128"/>
        <v/>
      </c>
    </row>
    <row r="8253" spans="1:1">
      <c r="A8253" t="str">
        <f t="shared" si="128"/>
        <v/>
      </c>
    </row>
    <row r="8254" spans="1:1">
      <c r="A8254" t="str">
        <f t="shared" si="128"/>
        <v/>
      </c>
    </row>
    <row r="8255" spans="1:1">
      <c r="A8255" t="str">
        <f t="shared" si="128"/>
        <v/>
      </c>
    </row>
    <row r="8256" spans="1:1">
      <c r="A8256" t="str">
        <f t="shared" ref="A8256:A8319" si="129">CONCATENATE(I8256, B8256)</f>
        <v/>
      </c>
    </row>
    <row r="8257" spans="1:1">
      <c r="A8257" t="str">
        <f t="shared" si="129"/>
        <v/>
      </c>
    </row>
    <row r="8258" spans="1:1">
      <c r="A8258" t="str">
        <f t="shared" si="129"/>
        <v/>
      </c>
    </row>
    <row r="8259" spans="1:1">
      <c r="A8259" t="str">
        <f t="shared" si="129"/>
        <v/>
      </c>
    </row>
    <row r="8260" spans="1:1">
      <c r="A8260" t="str">
        <f t="shared" si="129"/>
        <v/>
      </c>
    </row>
    <row r="8261" spans="1:1">
      <c r="A8261" t="str">
        <f t="shared" si="129"/>
        <v/>
      </c>
    </row>
    <row r="8262" spans="1:1">
      <c r="A8262" t="str">
        <f t="shared" si="129"/>
        <v/>
      </c>
    </row>
    <row r="8263" spans="1:1">
      <c r="A8263" t="str">
        <f t="shared" si="129"/>
        <v/>
      </c>
    </row>
    <row r="8264" spans="1:1">
      <c r="A8264" t="str">
        <f t="shared" si="129"/>
        <v/>
      </c>
    </row>
    <row r="8265" spans="1:1">
      <c r="A8265" t="str">
        <f t="shared" si="129"/>
        <v/>
      </c>
    </row>
    <row r="8266" spans="1:1">
      <c r="A8266" t="str">
        <f t="shared" si="129"/>
        <v/>
      </c>
    </row>
    <row r="8267" spans="1:1">
      <c r="A8267" t="str">
        <f t="shared" si="129"/>
        <v/>
      </c>
    </row>
    <row r="8268" spans="1:1">
      <c r="A8268" t="str">
        <f t="shared" si="129"/>
        <v/>
      </c>
    </row>
    <row r="8269" spans="1:1">
      <c r="A8269" t="str">
        <f t="shared" si="129"/>
        <v/>
      </c>
    </row>
    <row r="8270" spans="1:1">
      <c r="A8270" t="str">
        <f t="shared" si="129"/>
        <v/>
      </c>
    </row>
    <row r="8271" spans="1:1">
      <c r="A8271" t="str">
        <f t="shared" si="129"/>
        <v/>
      </c>
    </row>
    <row r="8272" spans="1:1">
      <c r="A8272" t="str">
        <f t="shared" si="129"/>
        <v/>
      </c>
    </row>
    <row r="8273" spans="1:1">
      <c r="A8273" t="str">
        <f t="shared" si="129"/>
        <v/>
      </c>
    </row>
    <row r="8274" spans="1:1">
      <c r="A8274" t="str">
        <f t="shared" si="129"/>
        <v/>
      </c>
    </row>
    <row r="8275" spans="1:1">
      <c r="A8275" t="str">
        <f t="shared" si="129"/>
        <v/>
      </c>
    </row>
    <row r="8276" spans="1:1">
      <c r="A8276" t="str">
        <f t="shared" si="129"/>
        <v/>
      </c>
    </row>
    <row r="8277" spans="1:1">
      <c r="A8277" t="str">
        <f t="shared" si="129"/>
        <v/>
      </c>
    </row>
    <row r="8278" spans="1:1">
      <c r="A8278" t="str">
        <f t="shared" si="129"/>
        <v/>
      </c>
    </row>
    <row r="8279" spans="1:1">
      <c r="A8279" t="str">
        <f t="shared" si="129"/>
        <v/>
      </c>
    </row>
    <row r="8280" spans="1:1">
      <c r="A8280" t="str">
        <f t="shared" si="129"/>
        <v/>
      </c>
    </row>
    <row r="8281" spans="1:1">
      <c r="A8281" t="str">
        <f t="shared" si="129"/>
        <v/>
      </c>
    </row>
    <row r="8282" spans="1:1">
      <c r="A8282" t="str">
        <f t="shared" si="129"/>
        <v/>
      </c>
    </row>
    <row r="8283" spans="1:1">
      <c r="A8283" t="str">
        <f t="shared" si="129"/>
        <v/>
      </c>
    </row>
    <row r="8284" spans="1:1">
      <c r="A8284" t="str">
        <f t="shared" si="129"/>
        <v/>
      </c>
    </row>
    <row r="8285" spans="1:1">
      <c r="A8285" t="str">
        <f t="shared" si="129"/>
        <v/>
      </c>
    </row>
    <row r="8286" spans="1:1">
      <c r="A8286" t="str">
        <f t="shared" si="129"/>
        <v/>
      </c>
    </row>
    <row r="8287" spans="1:1">
      <c r="A8287" t="str">
        <f t="shared" si="129"/>
        <v/>
      </c>
    </row>
    <row r="8288" spans="1:1">
      <c r="A8288" t="str">
        <f t="shared" si="129"/>
        <v/>
      </c>
    </row>
    <row r="8289" spans="1:1">
      <c r="A8289" t="str">
        <f t="shared" si="129"/>
        <v/>
      </c>
    </row>
    <row r="8290" spans="1:1">
      <c r="A8290" t="str">
        <f t="shared" si="129"/>
        <v/>
      </c>
    </row>
    <row r="8291" spans="1:1">
      <c r="A8291" t="str">
        <f t="shared" si="129"/>
        <v/>
      </c>
    </row>
    <row r="8292" spans="1:1">
      <c r="A8292" t="str">
        <f t="shared" si="129"/>
        <v/>
      </c>
    </row>
    <row r="8293" spans="1:1">
      <c r="A8293" t="str">
        <f t="shared" si="129"/>
        <v/>
      </c>
    </row>
    <row r="8294" spans="1:1">
      <c r="A8294" t="str">
        <f t="shared" si="129"/>
        <v/>
      </c>
    </row>
    <row r="8295" spans="1:1">
      <c r="A8295" t="str">
        <f t="shared" si="129"/>
        <v/>
      </c>
    </row>
    <row r="8296" spans="1:1">
      <c r="A8296" t="str">
        <f t="shared" si="129"/>
        <v/>
      </c>
    </row>
    <row r="8297" spans="1:1">
      <c r="A8297" t="str">
        <f t="shared" si="129"/>
        <v/>
      </c>
    </row>
    <row r="8298" spans="1:1">
      <c r="A8298" t="str">
        <f t="shared" si="129"/>
        <v/>
      </c>
    </row>
    <row r="8299" spans="1:1">
      <c r="A8299" t="str">
        <f t="shared" si="129"/>
        <v/>
      </c>
    </row>
    <row r="8300" spans="1:1">
      <c r="A8300" t="str">
        <f t="shared" si="129"/>
        <v/>
      </c>
    </row>
    <row r="8301" spans="1:1">
      <c r="A8301" t="str">
        <f t="shared" si="129"/>
        <v/>
      </c>
    </row>
    <row r="8302" spans="1:1">
      <c r="A8302" t="str">
        <f t="shared" si="129"/>
        <v/>
      </c>
    </row>
    <row r="8303" spans="1:1">
      <c r="A8303" t="str">
        <f t="shared" si="129"/>
        <v/>
      </c>
    </row>
    <row r="8304" spans="1:1">
      <c r="A8304" t="str">
        <f t="shared" si="129"/>
        <v/>
      </c>
    </row>
    <row r="8305" spans="1:1">
      <c r="A8305" t="str">
        <f t="shared" si="129"/>
        <v/>
      </c>
    </row>
    <row r="8306" spans="1:1">
      <c r="A8306" t="str">
        <f t="shared" si="129"/>
        <v/>
      </c>
    </row>
    <row r="8307" spans="1:1">
      <c r="A8307" t="str">
        <f t="shared" si="129"/>
        <v/>
      </c>
    </row>
    <row r="8308" spans="1:1">
      <c r="A8308" t="str">
        <f t="shared" si="129"/>
        <v/>
      </c>
    </row>
    <row r="8309" spans="1:1">
      <c r="A8309" t="str">
        <f t="shared" si="129"/>
        <v/>
      </c>
    </row>
    <row r="8310" spans="1:1">
      <c r="A8310" t="str">
        <f t="shared" si="129"/>
        <v/>
      </c>
    </row>
    <row r="8311" spans="1:1">
      <c r="A8311" t="str">
        <f t="shared" si="129"/>
        <v/>
      </c>
    </row>
    <row r="8312" spans="1:1">
      <c r="A8312" t="str">
        <f t="shared" si="129"/>
        <v/>
      </c>
    </row>
    <row r="8313" spans="1:1">
      <c r="A8313" t="str">
        <f t="shared" si="129"/>
        <v/>
      </c>
    </row>
    <row r="8314" spans="1:1">
      <c r="A8314" t="str">
        <f t="shared" si="129"/>
        <v/>
      </c>
    </row>
    <row r="8315" spans="1:1">
      <c r="A8315" t="str">
        <f t="shared" si="129"/>
        <v/>
      </c>
    </row>
    <row r="8316" spans="1:1">
      <c r="A8316" t="str">
        <f t="shared" si="129"/>
        <v/>
      </c>
    </row>
    <row r="8317" spans="1:1">
      <c r="A8317" t="str">
        <f t="shared" si="129"/>
        <v/>
      </c>
    </row>
    <row r="8318" spans="1:1">
      <c r="A8318" t="str">
        <f t="shared" si="129"/>
        <v/>
      </c>
    </row>
    <row r="8319" spans="1:1">
      <c r="A8319" t="str">
        <f t="shared" si="129"/>
        <v/>
      </c>
    </row>
    <row r="8320" spans="1:1">
      <c r="A8320" t="str">
        <f t="shared" ref="A8320:A8383" si="130">CONCATENATE(I8320, B8320)</f>
        <v/>
      </c>
    </row>
    <row r="8321" spans="1:1">
      <c r="A8321" t="str">
        <f t="shared" si="130"/>
        <v/>
      </c>
    </row>
    <row r="8322" spans="1:1">
      <c r="A8322" t="str">
        <f t="shared" si="130"/>
        <v/>
      </c>
    </row>
    <row r="8323" spans="1:1">
      <c r="A8323" t="str">
        <f t="shared" si="130"/>
        <v/>
      </c>
    </row>
    <row r="8324" spans="1:1">
      <c r="A8324" t="str">
        <f t="shared" si="130"/>
        <v/>
      </c>
    </row>
    <row r="8325" spans="1:1">
      <c r="A8325" t="str">
        <f t="shared" si="130"/>
        <v/>
      </c>
    </row>
    <row r="8326" spans="1:1">
      <c r="A8326" t="str">
        <f t="shared" si="130"/>
        <v/>
      </c>
    </row>
    <row r="8327" spans="1:1">
      <c r="A8327" t="str">
        <f t="shared" si="130"/>
        <v/>
      </c>
    </row>
    <row r="8328" spans="1:1">
      <c r="A8328" t="str">
        <f t="shared" si="130"/>
        <v/>
      </c>
    </row>
    <row r="8329" spans="1:1">
      <c r="A8329" t="str">
        <f t="shared" si="130"/>
        <v/>
      </c>
    </row>
    <row r="8330" spans="1:1">
      <c r="A8330" t="str">
        <f t="shared" si="130"/>
        <v/>
      </c>
    </row>
    <row r="8331" spans="1:1">
      <c r="A8331" t="str">
        <f t="shared" si="130"/>
        <v/>
      </c>
    </row>
    <row r="8332" spans="1:1">
      <c r="A8332" t="str">
        <f t="shared" si="130"/>
        <v/>
      </c>
    </row>
    <row r="8333" spans="1:1">
      <c r="A8333" t="str">
        <f t="shared" si="130"/>
        <v/>
      </c>
    </row>
    <row r="8334" spans="1:1">
      <c r="A8334" t="str">
        <f t="shared" si="130"/>
        <v/>
      </c>
    </row>
    <row r="8335" spans="1:1">
      <c r="A8335" t="str">
        <f t="shared" si="130"/>
        <v/>
      </c>
    </row>
    <row r="8336" spans="1:1">
      <c r="A8336" t="str">
        <f t="shared" si="130"/>
        <v/>
      </c>
    </row>
    <row r="8337" spans="1:1">
      <c r="A8337" t="str">
        <f t="shared" si="130"/>
        <v/>
      </c>
    </row>
    <row r="8338" spans="1:1">
      <c r="A8338" t="str">
        <f t="shared" si="130"/>
        <v/>
      </c>
    </row>
    <row r="8339" spans="1:1">
      <c r="A8339" t="str">
        <f t="shared" si="130"/>
        <v/>
      </c>
    </row>
    <row r="8340" spans="1:1">
      <c r="A8340" t="str">
        <f t="shared" si="130"/>
        <v/>
      </c>
    </row>
    <row r="8341" spans="1:1">
      <c r="A8341" t="str">
        <f t="shared" si="130"/>
        <v/>
      </c>
    </row>
    <row r="8342" spans="1:1">
      <c r="A8342" t="str">
        <f t="shared" si="130"/>
        <v/>
      </c>
    </row>
    <row r="8343" spans="1:1">
      <c r="A8343" t="str">
        <f t="shared" si="130"/>
        <v/>
      </c>
    </row>
    <row r="8344" spans="1:1">
      <c r="A8344" t="str">
        <f t="shared" si="130"/>
        <v/>
      </c>
    </row>
    <row r="8345" spans="1:1">
      <c r="A8345" t="str">
        <f t="shared" si="130"/>
        <v/>
      </c>
    </row>
    <row r="8346" spans="1:1">
      <c r="A8346" t="str">
        <f t="shared" si="130"/>
        <v/>
      </c>
    </row>
    <row r="8347" spans="1:1">
      <c r="A8347" t="str">
        <f t="shared" si="130"/>
        <v/>
      </c>
    </row>
    <row r="8348" spans="1:1">
      <c r="A8348" t="str">
        <f t="shared" si="130"/>
        <v/>
      </c>
    </row>
    <row r="8349" spans="1:1">
      <c r="A8349" t="str">
        <f t="shared" si="130"/>
        <v/>
      </c>
    </row>
    <row r="8350" spans="1:1">
      <c r="A8350" t="str">
        <f t="shared" si="130"/>
        <v/>
      </c>
    </row>
    <row r="8351" spans="1:1">
      <c r="A8351" t="str">
        <f t="shared" si="130"/>
        <v/>
      </c>
    </row>
    <row r="8352" spans="1:1">
      <c r="A8352" t="str">
        <f t="shared" si="130"/>
        <v/>
      </c>
    </row>
    <row r="8353" spans="1:1">
      <c r="A8353" t="str">
        <f t="shared" si="130"/>
        <v/>
      </c>
    </row>
    <row r="8354" spans="1:1">
      <c r="A8354" t="str">
        <f t="shared" si="130"/>
        <v/>
      </c>
    </row>
    <row r="8355" spans="1:1">
      <c r="A8355" t="str">
        <f t="shared" si="130"/>
        <v/>
      </c>
    </row>
    <row r="8356" spans="1:1">
      <c r="A8356" t="str">
        <f t="shared" si="130"/>
        <v/>
      </c>
    </row>
    <row r="8357" spans="1:1">
      <c r="A8357" t="str">
        <f t="shared" si="130"/>
        <v/>
      </c>
    </row>
    <row r="8358" spans="1:1">
      <c r="A8358" t="str">
        <f t="shared" si="130"/>
        <v/>
      </c>
    </row>
    <row r="8359" spans="1:1">
      <c r="A8359" t="str">
        <f t="shared" si="130"/>
        <v/>
      </c>
    </row>
    <row r="8360" spans="1:1">
      <c r="A8360" t="str">
        <f t="shared" si="130"/>
        <v/>
      </c>
    </row>
    <row r="8361" spans="1:1">
      <c r="A8361" t="str">
        <f t="shared" si="130"/>
        <v/>
      </c>
    </row>
    <row r="8362" spans="1:1">
      <c r="A8362" t="str">
        <f t="shared" si="130"/>
        <v/>
      </c>
    </row>
    <row r="8363" spans="1:1">
      <c r="A8363" t="str">
        <f t="shared" si="130"/>
        <v/>
      </c>
    </row>
    <row r="8364" spans="1:1">
      <c r="A8364" t="str">
        <f t="shared" si="130"/>
        <v/>
      </c>
    </row>
    <row r="8365" spans="1:1">
      <c r="A8365" t="str">
        <f t="shared" si="130"/>
        <v/>
      </c>
    </row>
    <row r="8366" spans="1:1">
      <c r="A8366" t="str">
        <f t="shared" si="130"/>
        <v/>
      </c>
    </row>
    <row r="8367" spans="1:1">
      <c r="A8367" t="str">
        <f t="shared" si="130"/>
        <v/>
      </c>
    </row>
    <row r="8368" spans="1:1">
      <c r="A8368" t="str">
        <f t="shared" si="130"/>
        <v/>
      </c>
    </row>
    <row r="8369" spans="1:1">
      <c r="A8369" t="str">
        <f t="shared" si="130"/>
        <v/>
      </c>
    </row>
    <row r="8370" spans="1:1">
      <c r="A8370" t="str">
        <f t="shared" si="130"/>
        <v/>
      </c>
    </row>
    <row r="8371" spans="1:1">
      <c r="A8371" t="str">
        <f t="shared" si="130"/>
        <v/>
      </c>
    </row>
    <row r="8372" spans="1:1">
      <c r="A8372" t="str">
        <f t="shared" si="130"/>
        <v/>
      </c>
    </row>
    <row r="8373" spans="1:1">
      <c r="A8373" t="str">
        <f t="shared" si="130"/>
        <v/>
      </c>
    </row>
    <row r="8374" spans="1:1">
      <c r="A8374" t="str">
        <f t="shared" si="130"/>
        <v/>
      </c>
    </row>
    <row r="8375" spans="1:1">
      <c r="A8375" t="str">
        <f t="shared" si="130"/>
        <v/>
      </c>
    </row>
    <row r="8376" spans="1:1">
      <c r="A8376" t="str">
        <f t="shared" si="130"/>
        <v/>
      </c>
    </row>
    <row r="8377" spans="1:1">
      <c r="A8377" t="str">
        <f t="shared" si="130"/>
        <v/>
      </c>
    </row>
    <row r="8378" spans="1:1">
      <c r="A8378" t="str">
        <f t="shared" si="130"/>
        <v/>
      </c>
    </row>
    <row r="8379" spans="1:1">
      <c r="A8379" t="str">
        <f t="shared" si="130"/>
        <v/>
      </c>
    </row>
    <row r="8380" spans="1:1">
      <c r="A8380" t="str">
        <f t="shared" si="130"/>
        <v/>
      </c>
    </row>
    <row r="8381" spans="1:1">
      <c r="A8381" t="str">
        <f t="shared" si="130"/>
        <v/>
      </c>
    </row>
    <row r="8382" spans="1:1">
      <c r="A8382" t="str">
        <f t="shared" si="130"/>
        <v/>
      </c>
    </row>
    <row r="8383" spans="1:1">
      <c r="A8383" t="str">
        <f t="shared" si="130"/>
        <v/>
      </c>
    </row>
    <row r="8384" spans="1:1">
      <c r="A8384" t="str">
        <f t="shared" ref="A8384:A8447" si="131">CONCATENATE(I8384, B8384)</f>
        <v/>
      </c>
    </row>
    <row r="8385" spans="1:1">
      <c r="A8385" t="str">
        <f t="shared" si="131"/>
        <v/>
      </c>
    </row>
    <row r="8386" spans="1:1">
      <c r="A8386" t="str">
        <f t="shared" si="131"/>
        <v/>
      </c>
    </row>
    <row r="8387" spans="1:1">
      <c r="A8387" t="str">
        <f t="shared" si="131"/>
        <v/>
      </c>
    </row>
    <row r="8388" spans="1:1">
      <c r="A8388" t="str">
        <f t="shared" si="131"/>
        <v/>
      </c>
    </row>
    <row r="8389" spans="1:1">
      <c r="A8389" t="str">
        <f t="shared" si="131"/>
        <v/>
      </c>
    </row>
    <row r="8390" spans="1:1">
      <c r="A8390" t="str">
        <f t="shared" si="131"/>
        <v/>
      </c>
    </row>
    <row r="8391" spans="1:1">
      <c r="A8391" t="str">
        <f t="shared" si="131"/>
        <v/>
      </c>
    </row>
    <row r="8392" spans="1:1">
      <c r="A8392" t="str">
        <f t="shared" si="131"/>
        <v/>
      </c>
    </row>
    <row r="8393" spans="1:1">
      <c r="A8393" t="str">
        <f t="shared" si="131"/>
        <v/>
      </c>
    </row>
    <row r="8394" spans="1:1">
      <c r="A8394" t="str">
        <f t="shared" si="131"/>
        <v/>
      </c>
    </row>
    <row r="8395" spans="1:1">
      <c r="A8395" t="str">
        <f t="shared" si="131"/>
        <v/>
      </c>
    </row>
    <row r="8396" spans="1:1">
      <c r="A8396" t="str">
        <f t="shared" si="131"/>
        <v/>
      </c>
    </row>
    <row r="8397" spans="1:1">
      <c r="A8397" t="str">
        <f t="shared" si="131"/>
        <v/>
      </c>
    </row>
    <row r="8398" spans="1:1">
      <c r="A8398" t="str">
        <f t="shared" si="131"/>
        <v/>
      </c>
    </row>
    <row r="8399" spans="1:1">
      <c r="A8399" t="str">
        <f t="shared" si="131"/>
        <v/>
      </c>
    </row>
    <row r="8400" spans="1:1">
      <c r="A8400" t="str">
        <f t="shared" si="131"/>
        <v/>
      </c>
    </row>
    <row r="8401" spans="1:1">
      <c r="A8401" t="str">
        <f t="shared" si="131"/>
        <v/>
      </c>
    </row>
    <row r="8402" spans="1:1">
      <c r="A8402" t="str">
        <f t="shared" si="131"/>
        <v/>
      </c>
    </row>
    <row r="8403" spans="1:1">
      <c r="A8403" t="str">
        <f t="shared" si="131"/>
        <v/>
      </c>
    </row>
    <row r="8404" spans="1:1">
      <c r="A8404" t="str">
        <f t="shared" si="131"/>
        <v/>
      </c>
    </row>
    <row r="8405" spans="1:1">
      <c r="A8405" t="str">
        <f t="shared" si="131"/>
        <v/>
      </c>
    </row>
    <row r="8406" spans="1:1">
      <c r="A8406" t="str">
        <f t="shared" si="131"/>
        <v/>
      </c>
    </row>
    <row r="8407" spans="1:1">
      <c r="A8407" t="str">
        <f t="shared" si="131"/>
        <v/>
      </c>
    </row>
    <row r="8408" spans="1:1">
      <c r="A8408" t="str">
        <f t="shared" si="131"/>
        <v/>
      </c>
    </row>
    <row r="8409" spans="1:1">
      <c r="A8409" t="str">
        <f t="shared" si="131"/>
        <v/>
      </c>
    </row>
    <row r="8410" spans="1:1">
      <c r="A8410" t="str">
        <f t="shared" si="131"/>
        <v/>
      </c>
    </row>
    <row r="8411" spans="1:1">
      <c r="A8411" t="str">
        <f t="shared" si="131"/>
        <v/>
      </c>
    </row>
    <row r="8412" spans="1:1">
      <c r="A8412" t="str">
        <f t="shared" si="131"/>
        <v/>
      </c>
    </row>
    <row r="8413" spans="1:1">
      <c r="A8413" t="str">
        <f t="shared" si="131"/>
        <v/>
      </c>
    </row>
    <row r="8414" spans="1:1">
      <c r="A8414" t="str">
        <f t="shared" si="131"/>
        <v/>
      </c>
    </row>
    <row r="8415" spans="1:1">
      <c r="A8415" t="str">
        <f t="shared" si="131"/>
        <v/>
      </c>
    </row>
    <row r="8416" spans="1:1">
      <c r="A8416" t="str">
        <f t="shared" si="131"/>
        <v/>
      </c>
    </row>
    <row r="8417" spans="1:1">
      <c r="A8417" t="str">
        <f t="shared" si="131"/>
        <v/>
      </c>
    </row>
    <row r="8418" spans="1:1">
      <c r="A8418" t="str">
        <f t="shared" si="131"/>
        <v/>
      </c>
    </row>
    <row r="8419" spans="1:1">
      <c r="A8419" t="str">
        <f t="shared" si="131"/>
        <v/>
      </c>
    </row>
    <row r="8420" spans="1:1">
      <c r="A8420" t="str">
        <f t="shared" si="131"/>
        <v/>
      </c>
    </row>
    <row r="8421" spans="1:1">
      <c r="A8421" t="str">
        <f t="shared" si="131"/>
        <v/>
      </c>
    </row>
    <row r="8422" spans="1:1">
      <c r="A8422" t="str">
        <f t="shared" si="131"/>
        <v/>
      </c>
    </row>
    <row r="8423" spans="1:1">
      <c r="A8423" t="str">
        <f t="shared" si="131"/>
        <v/>
      </c>
    </row>
    <row r="8424" spans="1:1">
      <c r="A8424" t="str">
        <f t="shared" si="131"/>
        <v/>
      </c>
    </row>
    <row r="8425" spans="1:1">
      <c r="A8425" t="str">
        <f t="shared" si="131"/>
        <v/>
      </c>
    </row>
    <row r="8426" spans="1:1">
      <c r="A8426" t="str">
        <f t="shared" si="131"/>
        <v/>
      </c>
    </row>
    <row r="8427" spans="1:1">
      <c r="A8427" t="str">
        <f t="shared" si="131"/>
        <v/>
      </c>
    </row>
    <row r="8428" spans="1:1">
      <c r="A8428" t="str">
        <f t="shared" si="131"/>
        <v/>
      </c>
    </row>
    <row r="8429" spans="1:1">
      <c r="A8429" t="str">
        <f t="shared" si="131"/>
        <v/>
      </c>
    </row>
    <row r="8430" spans="1:1">
      <c r="A8430" t="str">
        <f t="shared" si="131"/>
        <v/>
      </c>
    </row>
    <row r="8431" spans="1:1">
      <c r="A8431" t="str">
        <f t="shared" si="131"/>
        <v/>
      </c>
    </row>
    <row r="8432" spans="1:1">
      <c r="A8432" t="str">
        <f t="shared" si="131"/>
        <v/>
      </c>
    </row>
    <row r="8433" spans="1:1">
      <c r="A8433" t="str">
        <f t="shared" si="131"/>
        <v/>
      </c>
    </row>
    <row r="8434" spans="1:1">
      <c r="A8434" t="str">
        <f t="shared" si="131"/>
        <v/>
      </c>
    </row>
    <row r="8435" spans="1:1">
      <c r="A8435" t="str">
        <f t="shared" si="131"/>
        <v/>
      </c>
    </row>
    <row r="8436" spans="1:1">
      <c r="A8436" t="str">
        <f t="shared" si="131"/>
        <v/>
      </c>
    </row>
    <row r="8437" spans="1:1">
      <c r="A8437" t="str">
        <f t="shared" si="131"/>
        <v/>
      </c>
    </row>
    <row r="8438" spans="1:1">
      <c r="A8438" t="str">
        <f t="shared" si="131"/>
        <v/>
      </c>
    </row>
    <row r="8439" spans="1:1">
      <c r="A8439" t="str">
        <f t="shared" si="131"/>
        <v/>
      </c>
    </row>
    <row r="8440" spans="1:1">
      <c r="A8440" t="str">
        <f t="shared" si="131"/>
        <v/>
      </c>
    </row>
    <row r="8441" spans="1:1">
      <c r="A8441" t="str">
        <f t="shared" si="131"/>
        <v/>
      </c>
    </row>
    <row r="8442" spans="1:1">
      <c r="A8442" t="str">
        <f t="shared" si="131"/>
        <v/>
      </c>
    </row>
    <row r="8443" spans="1:1">
      <c r="A8443" t="str">
        <f t="shared" si="131"/>
        <v/>
      </c>
    </row>
    <row r="8444" spans="1:1">
      <c r="A8444" t="str">
        <f t="shared" si="131"/>
        <v/>
      </c>
    </row>
    <row r="8445" spans="1:1">
      <c r="A8445" t="str">
        <f t="shared" si="131"/>
        <v/>
      </c>
    </row>
    <row r="8446" spans="1:1">
      <c r="A8446" t="str">
        <f t="shared" si="131"/>
        <v/>
      </c>
    </row>
    <row r="8447" spans="1:1">
      <c r="A8447" t="str">
        <f t="shared" si="131"/>
        <v/>
      </c>
    </row>
    <row r="8448" spans="1:1">
      <c r="A8448" t="str">
        <f t="shared" ref="A8448:A8500" si="132">CONCATENATE(I8448, B8448)</f>
        <v/>
      </c>
    </row>
    <row r="8449" spans="1:1">
      <c r="A8449" t="str">
        <f t="shared" si="132"/>
        <v/>
      </c>
    </row>
    <row r="8450" spans="1:1">
      <c r="A8450" t="str">
        <f t="shared" si="132"/>
        <v/>
      </c>
    </row>
    <row r="8451" spans="1:1">
      <c r="A8451" t="str">
        <f t="shared" si="132"/>
        <v/>
      </c>
    </row>
    <row r="8452" spans="1:1">
      <c r="A8452" t="str">
        <f t="shared" si="132"/>
        <v/>
      </c>
    </row>
    <row r="8453" spans="1:1">
      <c r="A8453" t="str">
        <f t="shared" si="132"/>
        <v/>
      </c>
    </row>
    <row r="8454" spans="1:1">
      <c r="A8454" t="str">
        <f t="shared" si="132"/>
        <v/>
      </c>
    </row>
    <row r="8455" spans="1:1">
      <c r="A8455" t="str">
        <f t="shared" si="132"/>
        <v/>
      </c>
    </row>
    <row r="8456" spans="1:1">
      <c r="A8456" t="str">
        <f t="shared" si="132"/>
        <v/>
      </c>
    </row>
    <row r="8457" spans="1:1">
      <c r="A8457" t="str">
        <f t="shared" si="132"/>
        <v/>
      </c>
    </row>
    <row r="8458" spans="1:1">
      <c r="A8458" t="str">
        <f t="shared" si="132"/>
        <v/>
      </c>
    </row>
    <row r="8459" spans="1:1">
      <c r="A8459" t="str">
        <f t="shared" si="132"/>
        <v/>
      </c>
    </row>
    <row r="8460" spans="1:1">
      <c r="A8460" t="str">
        <f t="shared" si="132"/>
        <v/>
      </c>
    </row>
    <row r="8461" spans="1:1">
      <c r="A8461" t="str">
        <f t="shared" si="132"/>
        <v/>
      </c>
    </row>
    <row r="8462" spans="1:1">
      <c r="A8462" t="str">
        <f t="shared" si="132"/>
        <v/>
      </c>
    </row>
    <row r="8463" spans="1:1">
      <c r="A8463" t="str">
        <f t="shared" si="132"/>
        <v/>
      </c>
    </row>
    <row r="8464" spans="1:1">
      <c r="A8464" t="str">
        <f t="shared" si="132"/>
        <v/>
      </c>
    </row>
    <row r="8465" spans="1:1">
      <c r="A8465" t="str">
        <f t="shared" si="132"/>
        <v/>
      </c>
    </row>
    <row r="8466" spans="1:1">
      <c r="A8466" t="str">
        <f t="shared" si="132"/>
        <v/>
      </c>
    </row>
    <row r="8467" spans="1:1">
      <c r="A8467" t="str">
        <f t="shared" si="132"/>
        <v/>
      </c>
    </row>
    <row r="8468" spans="1:1">
      <c r="A8468" t="str">
        <f t="shared" si="132"/>
        <v/>
      </c>
    </row>
    <row r="8469" spans="1:1">
      <c r="A8469" t="str">
        <f t="shared" si="132"/>
        <v/>
      </c>
    </row>
    <row r="8470" spans="1:1">
      <c r="A8470" t="str">
        <f t="shared" si="132"/>
        <v/>
      </c>
    </row>
    <row r="8471" spans="1:1">
      <c r="A8471" t="str">
        <f t="shared" si="132"/>
        <v/>
      </c>
    </row>
    <row r="8472" spans="1:1">
      <c r="A8472" t="str">
        <f t="shared" si="132"/>
        <v/>
      </c>
    </row>
    <row r="8473" spans="1:1">
      <c r="A8473" t="str">
        <f t="shared" si="132"/>
        <v/>
      </c>
    </row>
    <row r="8474" spans="1:1">
      <c r="A8474" t="str">
        <f t="shared" si="132"/>
        <v/>
      </c>
    </row>
    <row r="8475" spans="1:1">
      <c r="A8475" t="str">
        <f t="shared" si="132"/>
        <v/>
      </c>
    </row>
    <row r="8476" spans="1:1">
      <c r="A8476" t="str">
        <f t="shared" si="132"/>
        <v/>
      </c>
    </row>
    <row r="8477" spans="1:1">
      <c r="A8477" t="str">
        <f t="shared" si="132"/>
        <v/>
      </c>
    </row>
    <row r="8478" spans="1:1">
      <c r="A8478" t="str">
        <f t="shared" si="132"/>
        <v/>
      </c>
    </row>
    <row r="8479" spans="1:1">
      <c r="A8479" t="str">
        <f t="shared" si="132"/>
        <v/>
      </c>
    </row>
    <row r="8480" spans="1:1">
      <c r="A8480" t="str">
        <f t="shared" si="132"/>
        <v/>
      </c>
    </row>
    <row r="8481" spans="1:1">
      <c r="A8481" t="str">
        <f t="shared" si="132"/>
        <v/>
      </c>
    </row>
    <row r="8482" spans="1:1">
      <c r="A8482" t="str">
        <f t="shared" si="132"/>
        <v/>
      </c>
    </row>
    <row r="8483" spans="1:1">
      <c r="A8483" t="str">
        <f t="shared" si="132"/>
        <v/>
      </c>
    </row>
    <row r="8484" spans="1:1">
      <c r="A8484" t="str">
        <f t="shared" si="132"/>
        <v/>
      </c>
    </row>
    <row r="8485" spans="1:1">
      <c r="A8485" t="str">
        <f t="shared" si="132"/>
        <v/>
      </c>
    </row>
    <row r="8486" spans="1:1">
      <c r="A8486" t="str">
        <f t="shared" si="132"/>
        <v/>
      </c>
    </row>
    <row r="8487" spans="1:1">
      <c r="A8487" t="str">
        <f t="shared" si="132"/>
        <v/>
      </c>
    </row>
    <row r="8488" spans="1:1">
      <c r="A8488" t="str">
        <f t="shared" si="132"/>
        <v/>
      </c>
    </row>
    <row r="8489" spans="1:1">
      <c r="A8489" t="str">
        <f t="shared" si="132"/>
        <v/>
      </c>
    </row>
    <row r="8490" spans="1:1">
      <c r="A8490" t="str">
        <f t="shared" si="132"/>
        <v/>
      </c>
    </row>
    <row r="8491" spans="1:1">
      <c r="A8491" t="str">
        <f t="shared" si="132"/>
        <v/>
      </c>
    </row>
    <row r="8492" spans="1:1">
      <c r="A8492" t="str">
        <f t="shared" si="132"/>
        <v/>
      </c>
    </row>
    <row r="8493" spans="1:1">
      <c r="A8493" t="str">
        <f t="shared" si="132"/>
        <v/>
      </c>
    </row>
    <row r="8494" spans="1:1">
      <c r="A8494" t="str">
        <f t="shared" si="132"/>
        <v/>
      </c>
    </row>
    <row r="8495" spans="1:1">
      <c r="A8495" t="str">
        <f t="shared" si="132"/>
        <v/>
      </c>
    </row>
    <row r="8496" spans="1:1">
      <c r="A8496" t="str">
        <f t="shared" si="132"/>
        <v/>
      </c>
    </row>
    <row r="8497" spans="1:1">
      <c r="A8497" t="str">
        <f t="shared" si="132"/>
        <v/>
      </c>
    </row>
    <row r="8498" spans="1:1">
      <c r="A8498" t="str">
        <f t="shared" si="132"/>
        <v/>
      </c>
    </row>
    <row r="8499" spans="1:1">
      <c r="A8499" t="str">
        <f t="shared" si="132"/>
        <v/>
      </c>
    </row>
    <row r="8500" spans="1:1">
      <c r="A8500" t="str">
        <f t="shared" si="132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Table1</vt:lpstr>
      <vt:lpstr>Chart1</vt:lpstr>
      <vt:lpstr>Chart2</vt:lpstr>
      <vt:lpstr>Chart3</vt:lpstr>
      <vt:lpstr>Chart4</vt:lpstr>
      <vt:lpstr>HB Code</vt:lpstr>
      <vt:lpstr>Sheet1</vt:lpstr>
      <vt:lpstr>smr_data</vt:lpstr>
    </vt:vector>
  </TitlesOfParts>
  <Company>NHS NSS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yuyanf01</dc:creator>
  <cp:lastModifiedBy>yuyanf01</cp:lastModifiedBy>
  <dcterms:created xsi:type="dcterms:W3CDTF">2018-12-05T17:28:25Z</dcterms:created>
  <dcterms:modified xsi:type="dcterms:W3CDTF">2019-01-18T17:56:09Z</dcterms:modified>
</cp:coreProperties>
</file>